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vandezande/Library/CloudStorage/GoogleDrive-pvzande@umn.edu/My Drive/CRISPRa Paper/MICs/"/>
    </mc:Choice>
  </mc:AlternateContent>
  <xr:revisionPtr revIDLastSave="0" documentId="8_{39210B84-205D-7643-B5B6-4580D2AB1D7C}" xr6:coauthVersionLast="47" xr6:coauthVersionMax="47" xr10:uidLastSave="{00000000-0000-0000-0000-000000000000}"/>
  <bookViews>
    <workbookView xWindow="11380" yWindow="3120" windowWidth="24020" windowHeight="16240" activeTab="5" xr2:uid="{30826B2F-B0DB-9840-8E09-7EB70704533D}"/>
  </bookViews>
  <sheets>
    <sheet name="guide1Rep1" sheetId="2" r:id="rId1"/>
    <sheet name="guide1Rep2" sheetId="3" r:id="rId2"/>
    <sheet name="guide1Rep3, analysis" sheetId="4" r:id="rId3"/>
    <sheet name="guide2Rep1" sheetId="5" r:id="rId4"/>
    <sheet name="guide2Rep2" sheetId="6" r:id="rId5"/>
    <sheet name="guide2Rep3, analysis" sheetId="7" r:id="rId6"/>
  </sheets>
  <definedNames>
    <definedName name="MethodPointer1">879390416</definedName>
    <definedName name="MethodPointer2">474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9" i="7" l="1"/>
  <c r="L48" i="7"/>
  <c r="L47" i="7"/>
  <c r="L46" i="7"/>
  <c r="H46" i="7"/>
  <c r="L45" i="7"/>
  <c r="H45" i="7"/>
  <c r="L44" i="7"/>
  <c r="H44" i="7"/>
  <c r="L43" i="7"/>
  <c r="H43" i="7"/>
  <c r="N41" i="7"/>
  <c r="L41" i="7"/>
  <c r="I41" i="7"/>
  <c r="I49" i="7" s="1"/>
  <c r="H41" i="7"/>
  <c r="H49" i="7" s="1"/>
  <c r="G41" i="7"/>
  <c r="G49" i="7" s="1"/>
  <c r="F41" i="7"/>
  <c r="F49" i="7" s="1"/>
  <c r="D41" i="7"/>
  <c r="M40" i="7"/>
  <c r="L40" i="7"/>
  <c r="K40" i="7"/>
  <c r="J40" i="7"/>
  <c r="H40" i="7"/>
  <c r="H48" i="7" s="1"/>
  <c r="E40" i="7"/>
  <c r="D40" i="7"/>
  <c r="D48" i="7" s="1"/>
  <c r="C40" i="7"/>
  <c r="N39" i="7"/>
  <c r="L39" i="7"/>
  <c r="I39" i="7"/>
  <c r="I47" i="7" s="1"/>
  <c r="H39" i="7"/>
  <c r="H47" i="7" s="1"/>
  <c r="G39" i="7"/>
  <c r="G47" i="7" s="1"/>
  <c r="F39" i="7"/>
  <c r="F47" i="7" s="1"/>
  <c r="D39" i="7"/>
  <c r="D47" i="7" s="1"/>
  <c r="M38" i="7"/>
  <c r="L38" i="7"/>
  <c r="K38" i="7"/>
  <c r="J38" i="7"/>
  <c r="H38" i="7"/>
  <c r="E38" i="7"/>
  <c r="D38" i="7"/>
  <c r="D46" i="7" s="1"/>
  <c r="C38" i="7"/>
  <c r="N37" i="7"/>
  <c r="L37" i="7"/>
  <c r="I37" i="7"/>
  <c r="H37" i="7"/>
  <c r="G37" i="7"/>
  <c r="G45" i="7" s="1"/>
  <c r="F37" i="7"/>
  <c r="F45" i="7" s="1"/>
  <c r="D37" i="7"/>
  <c r="D45" i="7" s="1"/>
  <c r="M36" i="7"/>
  <c r="L36" i="7"/>
  <c r="K36" i="7"/>
  <c r="J36" i="7"/>
  <c r="H36" i="7"/>
  <c r="E36" i="7"/>
  <c r="D36" i="7"/>
  <c r="C36" i="7"/>
  <c r="N35" i="7"/>
  <c r="N43" i="7" s="1"/>
  <c r="L35" i="7"/>
  <c r="I35" i="7"/>
  <c r="I43" i="7" s="1"/>
  <c r="H35" i="7"/>
  <c r="G35" i="7"/>
  <c r="G43" i="7" s="1"/>
  <c r="F35" i="7"/>
  <c r="F43" i="7" s="1"/>
  <c r="D35" i="7"/>
  <c r="P25" i="7"/>
  <c r="M41" i="7" s="1"/>
  <c r="I45" i="6"/>
  <c r="I44" i="6"/>
  <c r="K43" i="6"/>
  <c r="M41" i="6"/>
  <c r="K41" i="6"/>
  <c r="K49" i="6" s="1"/>
  <c r="C41" i="6"/>
  <c r="N40" i="6"/>
  <c r="M40" i="6"/>
  <c r="E40" i="6"/>
  <c r="D40" i="6"/>
  <c r="C40" i="6"/>
  <c r="G39" i="6"/>
  <c r="E39" i="6"/>
  <c r="C39" i="6"/>
  <c r="G38" i="6"/>
  <c r="F38" i="6"/>
  <c r="E38" i="6"/>
  <c r="I37" i="6"/>
  <c r="H37" i="6"/>
  <c r="G37" i="6"/>
  <c r="K36" i="6"/>
  <c r="K44" i="6" s="1"/>
  <c r="I36" i="6"/>
  <c r="G36" i="6"/>
  <c r="K35" i="6"/>
  <c r="J35" i="6"/>
  <c r="J43" i="6" s="1"/>
  <c r="I35" i="6"/>
  <c r="I43" i="6" s="1"/>
  <c r="P25" i="6"/>
  <c r="H44" i="5"/>
  <c r="N41" i="5"/>
  <c r="L41" i="5"/>
  <c r="K41" i="5"/>
  <c r="J41" i="5"/>
  <c r="C41" i="5"/>
  <c r="N40" i="5"/>
  <c r="M40" i="5"/>
  <c r="L40" i="5"/>
  <c r="E40" i="5"/>
  <c r="D40" i="5"/>
  <c r="N39" i="5"/>
  <c r="L39" i="5"/>
  <c r="F39" i="5"/>
  <c r="D39" i="5"/>
  <c r="C39" i="5"/>
  <c r="N38" i="5"/>
  <c r="G38" i="5"/>
  <c r="F38" i="5"/>
  <c r="E38" i="5"/>
  <c r="D38" i="5"/>
  <c r="I37" i="5"/>
  <c r="I45" i="5" s="1"/>
  <c r="H37" i="5"/>
  <c r="H45" i="5" s="1"/>
  <c r="F37" i="5"/>
  <c r="D37" i="5"/>
  <c r="J36" i="5"/>
  <c r="H36" i="5"/>
  <c r="G36" i="5"/>
  <c r="F36" i="5"/>
  <c r="K35" i="5"/>
  <c r="K43" i="5" s="1"/>
  <c r="J35" i="5"/>
  <c r="J43" i="5" s="1"/>
  <c r="I35" i="5"/>
  <c r="I43" i="5" s="1"/>
  <c r="H35" i="5"/>
  <c r="H43" i="5" s="1"/>
  <c r="P25" i="5"/>
  <c r="K41" i="4"/>
  <c r="J41" i="4"/>
  <c r="J49" i="4" s="1"/>
  <c r="N40" i="4"/>
  <c r="M40" i="4"/>
  <c r="E40" i="4"/>
  <c r="D40" i="4"/>
  <c r="H39" i="4"/>
  <c r="G39" i="4"/>
  <c r="K38" i="4"/>
  <c r="I38" i="4"/>
  <c r="M37" i="4"/>
  <c r="L37" i="4"/>
  <c r="D37" i="4"/>
  <c r="C37" i="4"/>
  <c r="G36" i="4"/>
  <c r="F36" i="4"/>
  <c r="J35" i="4"/>
  <c r="J43" i="4" s="1"/>
  <c r="I35" i="4"/>
  <c r="I43" i="4" s="1"/>
  <c r="P25" i="4"/>
  <c r="I47" i="3"/>
  <c r="H45" i="3"/>
  <c r="G45" i="3"/>
  <c r="F45" i="3"/>
  <c r="I44" i="3"/>
  <c r="N41" i="3"/>
  <c r="N49" i="3" s="1"/>
  <c r="J41" i="3"/>
  <c r="I41" i="3"/>
  <c r="I49" i="3" s="1"/>
  <c r="H41" i="3"/>
  <c r="H49" i="3" s="1"/>
  <c r="F41" i="3"/>
  <c r="F49" i="3" s="1"/>
  <c r="E41" i="3"/>
  <c r="E49" i="3" s="1"/>
  <c r="M40" i="3"/>
  <c r="L40" i="3"/>
  <c r="K40" i="3"/>
  <c r="J40" i="3"/>
  <c r="I40" i="3"/>
  <c r="I48" i="3" s="1"/>
  <c r="E40" i="3"/>
  <c r="E48" i="3" s="1"/>
  <c r="D40" i="3"/>
  <c r="C40" i="3"/>
  <c r="N39" i="3"/>
  <c r="N47" i="3" s="1"/>
  <c r="M39" i="3"/>
  <c r="I39" i="3"/>
  <c r="H39" i="3"/>
  <c r="H47" i="3" s="1"/>
  <c r="G39" i="3"/>
  <c r="G47" i="3" s="1"/>
  <c r="F39" i="3"/>
  <c r="F47" i="3" s="1"/>
  <c r="E39" i="3"/>
  <c r="E47" i="3" s="1"/>
  <c r="M38" i="3"/>
  <c r="L38" i="3"/>
  <c r="K38" i="3"/>
  <c r="J38" i="3"/>
  <c r="I38" i="3"/>
  <c r="I46" i="3" s="1"/>
  <c r="E38" i="3"/>
  <c r="D38" i="3"/>
  <c r="C38" i="3"/>
  <c r="N37" i="3"/>
  <c r="N45" i="3" s="1"/>
  <c r="M37" i="3"/>
  <c r="M45" i="3" s="1"/>
  <c r="I37" i="3"/>
  <c r="I45" i="3" s="1"/>
  <c r="H37" i="3"/>
  <c r="G37" i="3"/>
  <c r="F37" i="3"/>
  <c r="E37" i="3"/>
  <c r="E45" i="3" s="1"/>
  <c r="M36" i="3"/>
  <c r="L36" i="3"/>
  <c r="K36" i="3"/>
  <c r="J36" i="3"/>
  <c r="I36" i="3"/>
  <c r="E36" i="3"/>
  <c r="D36" i="3"/>
  <c r="C36" i="3"/>
  <c r="N35" i="3"/>
  <c r="N43" i="3" s="1"/>
  <c r="M35" i="3"/>
  <c r="I35" i="3"/>
  <c r="I43" i="3" s="1"/>
  <c r="H35" i="3"/>
  <c r="H43" i="3" s="1"/>
  <c r="G35" i="3"/>
  <c r="G43" i="3" s="1"/>
  <c r="F35" i="3"/>
  <c r="F43" i="3" s="1"/>
  <c r="E35" i="3"/>
  <c r="P25" i="3"/>
  <c r="G41" i="3" s="1"/>
  <c r="N41" i="2"/>
  <c r="F41" i="2"/>
  <c r="J40" i="2"/>
  <c r="N39" i="2"/>
  <c r="G39" i="2"/>
  <c r="F39" i="2"/>
  <c r="F47" i="2" s="1"/>
  <c r="K38" i="2"/>
  <c r="J38" i="2"/>
  <c r="C38" i="2"/>
  <c r="N37" i="2"/>
  <c r="G37" i="2"/>
  <c r="F37" i="2"/>
  <c r="F45" i="2" s="1"/>
  <c r="K36" i="2"/>
  <c r="J36" i="2"/>
  <c r="C36" i="2"/>
  <c r="N35" i="2"/>
  <c r="N43" i="2" s="1"/>
  <c r="G35" i="2"/>
  <c r="G43" i="2" s="1"/>
  <c r="F35" i="2"/>
  <c r="F43" i="2" s="1"/>
  <c r="P25" i="2"/>
  <c r="M41" i="2" s="1"/>
  <c r="M48" i="3" l="1"/>
  <c r="M46" i="3"/>
  <c r="M43" i="3"/>
  <c r="M44" i="3"/>
  <c r="I46" i="4"/>
  <c r="N47" i="2"/>
  <c r="E46" i="3"/>
  <c r="E43" i="3"/>
  <c r="M49" i="2"/>
  <c r="G45" i="2"/>
  <c r="E44" i="3"/>
  <c r="J48" i="3"/>
  <c r="J49" i="3"/>
  <c r="C48" i="6"/>
  <c r="G47" i="2"/>
  <c r="N45" i="2"/>
  <c r="F49" i="2"/>
  <c r="J46" i="3"/>
  <c r="N49" i="2"/>
  <c r="J44" i="3"/>
  <c r="M47" i="3"/>
  <c r="C45" i="4"/>
  <c r="G44" i="6"/>
  <c r="C47" i="6"/>
  <c r="H35" i="2"/>
  <c r="H43" i="2" s="1"/>
  <c r="D36" i="2"/>
  <c r="D44" i="2" s="1"/>
  <c r="L36" i="2"/>
  <c r="H37" i="2"/>
  <c r="D38" i="2"/>
  <c r="L38" i="2"/>
  <c r="H39" i="2"/>
  <c r="H47" i="2" s="1"/>
  <c r="D40" i="2"/>
  <c r="L40" i="2"/>
  <c r="H41" i="2"/>
  <c r="H49" i="2" s="1"/>
  <c r="N41" i="4"/>
  <c r="F41" i="4"/>
  <c r="J40" i="4"/>
  <c r="J48" i="4" s="1"/>
  <c r="N39" i="4"/>
  <c r="N47" i="4" s="1"/>
  <c r="N56" i="4" s="1"/>
  <c r="F39" i="4"/>
  <c r="F47" i="4" s="1"/>
  <c r="F56" i="4" s="1"/>
  <c r="J38" i="4"/>
  <c r="J46" i="4" s="1"/>
  <c r="N37" i="4"/>
  <c r="F37" i="4"/>
  <c r="F45" i="4" s="1"/>
  <c r="F54" i="4" s="1"/>
  <c r="J36" i="4"/>
  <c r="J44" i="4" s="1"/>
  <c r="N35" i="4"/>
  <c r="N43" i="4" s="1"/>
  <c r="N52" i="4" s="1"/>
  <c r="F35" i="4"/>
  <c r="F43" i="4" s="1"/>
  <c r="F52" i="4" s="1"/>
  <c r="K35" i="4"/>
  <c r="K43" i="4" s="1"/>
  <c r="H36" i="4"/>
  <c r="E37" i="4"/>
  <c r="C38" i="4"/>
  <c r="C46" i="4" s="1"/>
  <c r="L38" i="4"/>
  <c r="L46" i="4" s="1"/>
  <c r="I39" i="4"/>
  <c r="I47" i="4" s="1"/>
  <c r="F40" i="4"/>
  <c r="C41" i="4"/>
  <c r="C49" i="4" s="1"/>
  <c r="L41" i="4"/>
  <c r="L49" i="4" s="1"/>
  <c r="J49" i="5"/>
  <c r="I35" i="2"/>
  <c r="I43" i="2" s="1"/>
  <c r="I52" i="4" s="1"/>
  <c r="E36" i="2"/>
  <c r="M36" i="2"/>
  <c r="M44" i="2" s="1"/>
  <c r="I37" i="2"/>
  <c r="E38" i="2"/>
  <c r="M38" i="2"/>
  <c r="M46" i="2" s="1"/>
  <c r="I39" i="2"/>
  <c r="E40" i="2"/>
  <c r="M40" i="2"/>
  <c r="M48" i="2" s="1"/>
  <c r="I41" i="2"/>
  <c r="G49" i="3"/>
  <c r="C35" i="4"/>
  <c r="C43" i="4" s="1"/>
  <c r="L35" i="4"/>
  <c r="L43" i="4" s="1"/>
  <c r="I36" i="4"/>
  <c r="I44" i="4" s="1"/>
  <c r="G37" i="4"/>
  <c r="D38" i="4"/>
  <c r="D46" i="4" s="1"/>
  <c r="M38" i="4"/>
  <c r="J39" i="4"/>
  <c r="J47" i="4" s="1"/>
  <c r="G40" i="4"/>
  <c r="G48" i="4" s="1"/>
  <c r="D41" i="4"/>
  <c r="M41" i="4"/>
  <c r="E46" i="5"/>
  <c r="K49" i="5"/>
  <c r="F36" i="2"/>
  <c r="F44" i="2" s="1"/>
  <c r="N36" i="2"/>
  <c r="N44" i="2" s="1"/>
  <c r="J37" i="2"/>
  <c r="F38" i="2"/>
  <c r="F46" i="2" s="1"/>
  <c r="N38" i="2"/>
  <c r="N46" i="2" s="1"/>
  <c r="J39" i="2"/>
  <c r="F40" i="2"/>
  <c r="F48" i="2" s="1"/>
  <c r="N40" i="2"/>
  <c r="N48" i="2" s="1"/>
  <c r="J41" i="2"/>
  <c r="D35" i="4"/>
  <c r="D43" i="4" s="1"/>
  <c r="M35" i="4"/>
  <c r="M43" i="4" s="1"/>
  <c r="M52" i="4" s="1"/>
  <c r="K36" i="4"/>
  <c r="H37" i="4"/>
  <c r="E38" i="4"/>
  <c r="N38" i="4"/>
  <c r="N46" i="4" s="1"/>
  <c r="K39" i="4"/>
  <c r="K47" i="4" s="1"/>
  <c r="H40" i="4"/>
  <c r="E41" i="4"/>
  <c r="J44" i="5"/>
  <c r="D43" i="7"/>
  <c r="D49" i="7"/>
  <c r="D44" i="7"/>
  <c r="K35" i="2"/>
  <c r="K43" i="2" s="1"/>
  <c r="K37" i="2"/>
  <c r="K45" i="2" s="1"/>
  <c r="C39" i="2"/>
  <c r="C47" i="2" s="1"/>
  <c r="K39" i="2"/>
  <c r="K47" i="2" s="1"/>
  <c r="C41" i="2"/>
  <c r="K41" i="2"/>
  <c r="K49" i="2" s="1"/>
  <c r="J35" i="3"/>
  <c r="J43" i="3" s="1"/>
  <c r="F36" i="3"/>
  <c r="F44" i="3" s="1"/>
  <c r="N36" i="3"/>
  <c r="N44" i="3" s="1"/>
  <c r="J37" i="3"/>
  <c r="J45" i="3" s="1"/>
  <c r="F38" i="3"/>
  <c r="F46" i="3" s="1"/>
  <c r="N38" i="3"/>
  <c r="N46" i="3" s="1"/>
  <c r="J39" i="3"/>
  <c r="J47" i="3" s="1"/>
  <c r="F40" i="3"/>
  <c r="F48" i="3" s="1"/>
  <c r="N40" i="3"/>
  <c r="N48" i="3" s="1"/>
  <c r="K41" i="3"/>
  <c r="E35" i="4"/>
  <c r="E43" i="4" s="1"/>
  <c r="C36" i="4"/>
  <c r="C44" i="4" s="1"/>
  <c r="L36" i="4"/>
  <c r="L44" i="4" s="1"/>
  <c r="I37" i="4"/>
  <c r="I45" i="4" s="1"/>
  <c r="F38" i="4"/>
  <c r="F46" i="4" s="1"/>
  <c r="C39" i="4"/>
  <c r="C47" i="4" s="1"/>
  <c r="L39" i="4"/>
  <c r="I40" i="4"/>
  <c r="I48" i="4" s="1"/>
  <c r="G41" i="4"/>
  <c r="E48" i="5"/>
  <c r="C40" i="2"/>
  <c r="K40" i="2"/>
  <c r="K48" i="2" s="1"/>
  <c r="G41" i="2"/>
  <c r="G49" i="2" s="1"/>
  <c r="J35" i="2"/>
  <c r="J43" i="2" s="1"/>
  <c r="J52" i="4" s="1"/>
  <c r="C35" i="2"/>
  <c r="C43" i="2" s="1"/>
  <c r="G36" i="2"/>
  <c r="G44" i="2" s="1"/>
  <c r="C37" i="2"/>
  <c r="C45" i="2" s="1"/>
  <c r="G38" i="2"/>
  <c r="G46" i="2" s="1"/>
  <c r="G40" i="2"/>
  <c r="G48" i="2" s="1"/>
  <c r="D35" i="2"/>
  <c r="D43" i="2" s="1"/>
  <c r="L35" i="2"/>
  <c r="L43" i="2" s="1"/>
  <c r="H36" i="2"/>
  <c r="H44" i="2" s="1"/>
  <c r="D37" i="2"/>
  <c r="D45" i="2" s="1"/>
  <c r="L37" i="2"/>
  <c r="L45" i="2" s="1"/>
  <c r="H38" i="2"/>
  <c r="H46" i="2" s="1"/>
  <c r="D39" i="2"/>
  <c r="L39" i="2"/>
  <c r="H40" i="2"/>
  <c r="H48" i="2" s="1"/>
  <c r="D41" i="2"/>
  <c r="D49" i="2" s="1"/>
  <c r="L41" i="2"/>
  <c r="L49" i="2" s="1"/>
  <c r="C35" i="3"/>
  <c r="K35" i="3"/>
  <c r="K48" i="3" s="1"/>
  <c r="G36" i="3"/>
  <c r="G44" i="3" s="1"/>
  <c r="C37" i="3"/>
  <c r="K37" i="3"/>
  <c r="G38" i="3"/>
  <c r="G46" i="3" s="1"/>
  <c r="C39" i="3"/>
  <c r="K39" i="3"/>
  <c r="K47" i="3" s="1"/>
  <c r="G40" i="3"/>
  <c r="G48" i="3" s="1"/>
  <c r="C41" i="3"/>
  <c r="C49" i="3" s="1"/>
  <c r="L41" i="3"/>
  <c r="L49" i="3" s="1"/>
  <c r="D36" i="4"/>
  <c r="J37" i="4"/>
  <c r="J45" i="4" s="1"/>
  <c r="D39" i="4"/>
  <c r="D47" i="4" s="1"/>
  <c r="K40" i="4"/>
  <c r="K48" i="4" s="1"/>
  <c r="D45" i="5"/>
  <c r="G35" i="4"/>
  <c r="G43" i="4" s="1"/>
  <c r="G52" i="4" s="1"/>
  <c r="M36" i="4"/>
  <c r="G38" i="4"/>
  <c r="G46" i="4" s="1"/>
  <c r="G55" i="4" s="1"/>
  <c r="M39" i="4"/>
  <c r="M47" i="4" s="1"/>
  <c r="H41" i="4"/>
  <c r="E35" i="2"/>
  <c r="E43" i="2" s="1"/>
  <c r="M35" i="2"/>
  <c r="M43" i="2" s="1"/>
  <c r="I36" i="2"/>
  <c r="E37" i="2"/>
  <c r="M37" i="2"/>
  <c r="M45" i="2" s="1"/>
  <c r="I38" i="2"/>
  <c r="I46" i="2" s="1"/>
  <c r="E39" i="2"/>
  <c r="M39" i="2"/>
  <c r="M47" i="2" s="1"/>
  <c r="I40" i="2"/>
  <c r="I48" i="2" s="1"/>
  <c r="E41" i="2"/>
  <c r="D35" i="3"/>
  <c r="D44" i="3" s="1"/>
  <c r="L35" i="3"/>
  <c r="H36" i="3"/>
  <c r="H44" i="3" s="1"/>
  <c r="D37" i="3"/>
  <c r="D45" i="3" s="1"/>
  <c r="L37" i="3"/>
  <c r="L45" i="3" s="1"/>
  <c r="H38" i="3"/>
  <c r="H46" i="3" s="1"/>
  <c r="D39" i="3"/>
  <c r="D47" i="3" s="1"/>
  <c r="L39" i="3"/>
  <c r="H40" i="3"/>
  <c r="H48" i="3" s="1"/>
  <c r="D41" i="3"/>
  <c r="D49" i="3" s="1"/>
  <c r="M41" i="3"/>
  <c r="M49" i="3" s="1"/>
  <c r="H35" i="4"/>
  <c r="H43" i="4" s="1"/>
  <c r="H52" i="4" s="1"/>
  <c r="E36" i="4"/>
  <c r="E44" i="4" s="1"/>
  <c r="N36" i="4"/>
  <c r="N44" i="4" s="1"/>
  <c r="N53" i="4" s="1"/>
  <c r="K37" i="4"/>
  <c r="K45" i="4" s="1"/>
  <c r="H38" i="4"/>
  <c r="E39" i="4"/>
  <c r="C40" i="4"/>
  <c r="C48" i="4" s="1"/>
  <c r="L40" i="4"/>
  <c r="L48" i="4" s="1"/>
  <c r="I41" i="4"/>
  <c r="I49" i="4" s="1"/>
  <c r="C47" i="5"/>
  <c r="F46" i="6"/>
  <c r="N41" i="6"/>
  <c r="F41" i="6"/>
  <c r="J40" i="6"/>
  <c r="J48" i="6" s="1"/>
  <c r="N39" i="6"/>
  <c r="N47" i="6" s="1"/>
  <c r="F39" i="6"/>
  <c r="F47" i="6" s="1"/>
  <c r="J38" i="6"/>
  <c r="J46" i="6" s="1"/>
  <c r="N37" i="6"/>
  <c r="N45" i="6" s="1"/>
  <c r="F37" i="6"/>
  <c r="J36" i="6"/>
  <c r="J44" i="6" s="1"/>
  <c r="N35" i="6"/>
  <c r="N43" i="6" s="1"/>
  <c r="F35" i="6"/>
  <c r="F43" i="6" s="1"/>
  <c r="L41" i="6"/>
  <c r="D41" i="6"/>
  <c r="D49" i="6" s="1"/>
  <c r="H40" i="6"/>
  <c r="L39" i="6"/>
  <c r="D39" i="6"/>
  <c r="H38" i="6"/>
  <c r="L37" i="6"/>
  <c r="D37" i="6"/>
  <c r="H36" i="6"/>
  <c r="L35" i="6"/>
  <c r="L43" i="6" s="1"/>
  <c r="D35" i="6"/>
  <c r="D43" i="6" s="1"/>
  <c r="M35" i="6"/>
  <c r="M43" i="6" s="1"/>
  <c r="L36" i="6"/>
  <c r="J37" i="6"/>
  <c r="J45" i="6" s="1"/>
  <c r="I38" i="6"/>
  <c r="I46" i="6" s="1"/>
  <c r="H39" i="6"/>
  <c r="F40" i="6"/>
  <c r="F48" i="6" s="1"/>
  <c r="E41" i="6"/>
  <c r="E49" i="6" s="1"/>
  <c r="G41" i="5"/>
  <c r="K40" i="5"/>
  <c r="K48" i="5" s="1"/>
  <c r="C40" i="5"/>
  <c r="G39" i="5"/>
  <c r="G47" i="5" s="1"/>
  <c r="K38" i="5"/>
  <c r="K46" i="5" s="1"/>
  <c r="C38" i="5"/>
  <c r="G37" i="5"/>
  <c r="K36" i="5"/>
  <c r="K44" i="5" s="1"/>
  <c r="C36" i="5"/>
  <c r="G35" i="5"/>
  <c r="G43" i="5" s="1"/>
  <c r="G51" i="7" s="1"/>
  <c r="M41" i="5"/>
  <c r="E41" i="5"/>
  <c r="E49" i="5" s="1"/>
  <c r="I40" i="5"/>
  <c r="I48" i="5" s="1"/>
  <c r="M39" i="5"/>
  <c r="E39" i="5"/>
  <c r="E47" i="5" s="1"/>
  <c r="I38" i="5"/>
  <c r="I46" i="5" s="1"/>
  <c r="M37" i="5"/>
  <c r="E37" i="5"/>
  <c r="E45" i="5" s="1"/>
  <c r="I36" i="5"/>
  <c r="I44" i="5" s="1"/>
  <c r="M35" i="5"/>
  <c r="M43" i="5" s="1"/>
  <c r="E35" i="5"/>
  <c r="E43" i="5" s="1"/>
  <c r="L35" i="5"/>
  <c r="L47" i="5" s="1"/>
  <c r="L36" i="5"/>
  <c r="L44" i="5" s="1"/>
  <c r="J37" i="5"/>
  <c r="J45" i="5" s="1"/>
  <c r="H38" i="5"/>
  <c r="H46" i="5" s="1"/>
  <c r="H39" i="5"/>
  <c r="H47" i="5" s="1"/>
  <c r="F40" i="5"/>
  <c r="D41" i="5"/>
  <c r="D49" i="5" s="1"/>
  <c r="C35" i="6"/>
  <c r="C43" i="6" s="1"/>
  <c r="C36" i="6"/>
  <c r="C44" i="6" s="1"/>
  <c r="M36" i="6"/>
  <c r="K37" i="6"/>
  <c r="K45" i="6" s="1"/>
  <c r="K38" i="6"/>
  <c r="K46" i="6" s="1"/>
  <c r="I39" i="6"/>
  <c r="I47" i="6" s="1"/>
  <c r="I55" i="7" s="1"/>
  <c r="G40" i="6"/>
  <c r="G48" i="6" s="1"/>
  <c r="G41" i="6"/>
  <c r="G49" i="6" s="1"/>
  <c r="C35" i="5"/>
  <c r="C43" i="5" s="1"/>
  <c r="N35" i="5"/>
  <c r="N46" i="5" s="1"/>
  <c r="M36" i="5"/>
  <c r="K37" i="5"/>
  <c r="K45" i="5" s="1"/>
  <c r="J38" i="5"/>
  <c r="J46" i="5" s="1"/>
  <c r="I39" i="5"/>
  <c r="I47" i="5" s="1"/>
  <c r="G40" i="5"/>
  <c r="F41" i="5"/>
  <c r="E35" i="6"/>
  <c r="E46" i="6" s="1"/>
  <c r="D36" i="6"/>
  <c r="D44" i="6" s="1"/>
  <c r="N36" i="6"/>
  <c r="N44" i="6" s="1"/>
  <c r="M37" i="6"/>
  <c r="M45" i="6" s="1"/>
  <c r="L38" i="6"/>
  <c r="J39" i="6"/>
  <c r="J47" i="6" s="1"/>
  <c r="I40" i="6"/>
  <c r="I48" i="6" s="1"/>
  <c r="H41" i="6"/>
  <c r="I45" i="7"/>
  <c r="I53" i="7" s="1"/>
  <c r="K46" i="7"/>
  <c r="K54" i="7" s="1"/>
  <c r="N49" i="7"/>
  <c r="D35" i="5"/>
  <c r="D43" i="5" s="1"/>
  <c r="D36" i="5"/>
  <c r="D44" i="5" s="1"/>
  <c r="N36" i="5"/>
  <c r="L37" i="5"/>
  <c r="L45" i="5" s="1"/>
  <c r="L38" i="5"/>
  <c r="L46" i="5" s="1"/>
  <c r="J39" i="5"/>
  <c r="J47" i="5" s="1"/>
  <c r="H40" i="5"/>
  <c r="H48" i="5" s="1"/>
  <c r="H41" i="5"/>
  <c r="H49" i="5" s="1"/>
  <c r="G35" i="6"/>
  <c r="G43" i="6" s="1"/>
  <c r="E36" i="6"/>
  <c r="C37" i="6"/>
  <c r="C45" i="6" s="1"/>
  <c r="C38" i="6"/>
  <c r="C46" i="6" s="1"/>
  <c r="M38" i="6"/>
  <c r="K39" i="6"/>
  <c r="K47" i="6" s="1"/>
  <c r="K40" i="6"/>
  <c r="K48" i="6" s="1"/>
  <c r="I41" i="6"/>
  <c r="I49" i="6" s="1"/>
  <c r="I57" i="7" s="1"/>
  <c r="I51" i="7"/>
  <c r="N47" i="7"/>
  <c r="F35" i="5"/>
  <c r="F44" i="5" s="1"/>
  <c r="E36" i="5"/>
  <c r="E44" i="5" s="1"/>
  <c r="C37" i="5"/>
  <c r="C45" i="5" s="1"/>
  <c r="N37" i="5"/>
  <c r="N45" i="5" s="1"/>
  <c r="M38" i="5"/>
  <c r="K39" i="5"/>
  <c r="K47" i="5" s="1"/>
  <c r="J40" i="5"/>
  <c r="J48" i="5" s="1"/>
  <c r="I41" i="5"/>
  <c r="I49" i="5" s="1"/>
  <c r="H35" i="6"/>
  <c r="H43" i="6" s="1"/>
  <c r="H51" i="7" s="1"/>
  <c r="F36" i="6"/>
  <c r="F44" i="6" s="1"/>
  <c r="E37" i="6"/>
  <c r="E45" i="6" s="1"/>
  <c r="D38" i="6"/>
  <c r="D46" i="6" s="1"/>
  <c r="N38" i="6"/>
  <c r="M39" i="6"/>
  <c r="L40" i="6"/>
  <c r="J41" i="6"/>
  <c r="J49" i="6" s="1"/>
  <c r="N45" i="7"/>
  <c r="C48" i="7"/>
  <c r="J35" i="7"/>
  <c r="J43" i="7" s="1"/>
  <c r="J51" i="7" s="1"/>
  <c r="F36" i="7"/>
  <c r="F44" i="7" s="1"/>
  <c r="N36" i="7"/>
  <c r="N44" i="7" s="1"/>
  <c r="J37" i="7"/>
  <c r="F38" i="7"/>
  <c r="F46" i="7" s="1"/>
  <c r="N38" i="7"/>
  <c r="N46" i="7" s="1"/>
  <c r="J39" i="7"/>
  <c r="F40" i="7"/>
  <c r="F48" i="7" s="1"/>
  <c r="N40" i="7"/>
  <c r="N48" i="7" s="1"/>
  <c r="J41" i="7"/>
  <c r="C35" i="7"/>
  <c r="C43" i="7" s="1"/>
  <c r="K35" i="7"/>
  <c r="K43" i="7" s="1"/>
  <c r="K51" i="7" s="1"/>
  <c r="G36" i="7"/>
  <c r="G44" i="7" s="1"/>
  <c r="C37" i="7"/>
  <c r="C45" i="7" s="1"/>
  <c r="K37" i="7"/>
  <c r="K45" i="7" s="1"/>
  <c r="G38" i="7"/>
  <c r="G46" i="7" s="1"/>
  <c r="C39" i="7"/>
  <c r="C47" i="7" s="1"/>
  <c r="C55" i="7" s="1"/>
  <c r="K39" i="7"/>
  <c r="G40" i="7"/>
  <c r="G48" i="7" s="1"/>
  <c r="C41" i="7"/>
  <c r="C49" i="7" s="1"/>
  <c r="K41" i="7"/>
  <c r="K49" i="7" s="1"/>
  <c r="K57" i="7" s="1"/>
  <c r="E35" i="7"/>
  <c r="E43" i="7" s="1"/>
  <c r="M35" i="7"/>
  <c r="M43" i="7" s="1"/>
  <c r="I36" i="7"/>
  <c r="I44" i="7" s="1"/>
  <c r="I52" i="7" s="1"/>
  <c r="E37" i="7"/>
  <c r="E45" i="7" s="1"/>
  <c r="M37" i="7"/>
  <c r="I38" i="7"/>
  <c r="I46" i="7" s="1"/>
  <c r="E39" i="7"/>
  <c r="M39" i="7"/>
  <c r="I40" i="7"/>
  <c r="I48" i="7" s="1"/>
  <c r="I56" i="7" s="1"/>
  <c r="E41" i="7"/>
  <c r="E49" i="7" s="1"/>
  <c r="E57" i="7" s="1"/>
  <c r="G57" i="7" l="1"/>
  <c r="L47" i="6"/>
  <c r="L55" i="7" s="1"/>
  <c r="C56" i="4"/>
  <c r="J45" i="2"/>
  <c r="G57" i="4"/>
  <c r="K46" i="3"/>
  <c r="L48" i="5"/>
  <c r="M44" i="5"/>
  <c r="F48" i="5"/>
  <c r="M49" i="5"/>
  <c r="C48" i="5"/>
  <c r="E44" i="7"/>
  <c r="H48" i="6"/>
  <c r="H56" i="7" s="1"/>
  <c r="M48" i="5"/>
  <c r="H49" i="4"/>
  <c r="H58" i="4" s="1"/>
  <c r="K43" i="3"/>
  <c r="K44" i="3"/>
  <c r="F55" i="4"/>
  <c r="C49" i="2"/>
  <c r="E49" i="4"/>
  <c r="D52" i="4"/>
  <c r="C44" i="7"/>
  <c r="I49" i="2"/>
  <c r="E44" i="2"/>
  <c r="N45" i="4"/>
  <c r="N54" i="4" s="1"/>
  <c r="L48" i="2"/>
  <c r="K49" i="4"/>
  <c r="K58" i="4" s="1"/>
  <c r="I55" i="4"/>
  <c r="J44" i="2"/>
  <c r="E53" i="4"/>
  <c r="E47" i="2"/>
  <c r="M56" i="4"/>
  <c r="C43" i="3"/>
  <c r="C46" i="3"/>
  <c r="D48" i="6"/>
  <c r="D56" i="7" s="1"/>
  <c r="E46" i="7"/>
  <c r="E54" i="7" s="1"/>
  <c r="H48" i="4"/>
  <c r="H57" i="4" s="1"/>
  <c r="J49" i="2"/>
  <c r="J58" i="4" s="1"/>
  <c r="M49" i="6"/>
  <c r="M46" i="4"/>
  <c r="M55" i="4" s="1"/>
  <c r="E45" i="4"/>
  <c r="D48" i="2"/>
  <c r="N48" i="6"/>
  <c r="K46" i="4"/>
  <c r="K55" i="4" s="1"/>
  <c r="C48" i="3"/>
  <c r="E53" i="7"/>
  <c r="N43" i="5"/>
  <c r="N51" i="7" s="1"/>
  <c r="N49" i="5"/>
  <c r="N47" i="5"/>
  <c r="K56" i="4"/>
  <c r="E48" i="2"/>
  <c r="H44" i="4"/>
  <c r="H53" i="4" s="1"/>
  <c r="C46" i="2"/>
  <c r="C55" i="4" s="1"/>
  <c r="J48" i="2"/>
  <c r="J57" i="4" s="1"/>
  <c r="C44" i="3"/>
  <c r="C53" i="4" s="1"/>
  <c r="C44" i="2"/>
  <c r="K46" i="2"/>
  <c r="M46" i="7"/>
  <c r="J44" i="7"/>
  <c r="J52" i="7" s="1"/>
  <c r="E43" i="6"/>
  <c r="E51" i="7" s="1"/>
  <c r="E48" i="6"/>
  <c r="E47" i="6"/>
  <c r="M45" i="5"/>
  <c r="C44" i="5"/>
  <c r="G49" i="5"/>
  <c r="H44" i="6"/>
  <c r="H52" i="7" s="1"/>
  <c r="L49" i="6"/>
  <c r="I58" i="4"/>
  <c r="M44" i="4"/>
  <c r="M53" i="4" s="1"/>
  <c r="K57" i="4"/>
  <c r="C47" i="3"/>
  <c r="G46" i="5"/>
  <c r="D52" i="7"/>
  <c r="N55" i="4"/>
  <c r="G45" i="4"/>
  <c r="G54" i="4" s="1"/>
  <c r="I47" i="2"/>
  <c r="L58" i="4"/>
  <c r="K52" i="4"/>
  <c r="L46" i="2"/>
  <c r="D48" i="4"/>
  <c r="N48" i="5"/>
  <c r="C49" i="6"/>
  <c r="C57" i="7" s="1"/>
  <c r="G46" i="6"/>
  <c r="M49" i="7"/>
  <c r="M57" i="7" s="1"/>
  <c r="J47" i="7"/>
  <c r="J55" i="7" s="1"/>
  <c r="C53" i="7"/>
  <c r="N53" i="7"/>
  <c r="N55" i="7"/>
  <c r="N44" i="5"/>
  <c r="N52" i="7" s="1"/>
  <c r="K48" i="7"/>
  <c r="K56" i="7" s="1"/>
  <c r="M44" i="6"/>
  <c r="G45" i="5"/>
  <c r="L45" i="6"/>
  <c r="L53" i="7" s="1"/>
  <c r="F49" i="6"/>
  <c r="L43" i="3"/>
  <c r="L46" i="3"/>
  <c r="L55" i="4" s="1"/>
  <c r="E45" i="2"/>
  <c r="D56" i="4"/>
  <c r="G49" i="4"/>
  <c r="G58" i="4" s="1"/>
  <c r="E52" i="4"/>
  <c r="D57" i="7"/>
  <c r="E46" i="4"/>
  <c r="J47" i="2"/>
  <c r="J56" i="4" s="1"/>
  <c r="E48" i="7"/>
  <c r="E56" i="7" s="1"/>
  <c r="G44" i="5"/>
  <c r="G52" i="7" s="1"/>
  <c r="I53" i="4"/>
  <c r="C58" i="4"/>
  <c r="D46" i="2"/>
  <c r="C49" i="5"/>
  <c r="D47" i="5"/>
  <c r="D48" i="5"/>
  <c r="M48" i="4"/>
  <c r="M57" i="4" s="1"/>
  <c r="D46" i="5"/>
  <c r="D54" i="7" s="1"/>
  <c r="K53" i="7"/>
  <c r="M46" i="6"/>
  <c r="M47" i="7"/>
  <c r="F54" i="7"/>
  <c r="M48" i="7"/>
  <c r="H49" i="6"/>
  <c r="H57" i="7" s="1"/>
  <c r="H47" i="6"/>
  <c r="H55" i="7" s="1"/>
  <c r="D45" i="6"/>
  <c r="D53" i="7" s="1"/>
  <c r="E47" i="7"/>
  <c r="J45" i="7"/>
  <c r="J53" i="7" s="1"/>
  <c r="L48" i="6"/>
  <c r="L56" i="7" s="1"/>
  <c r="H46" i="6"/>
  <c r="H54" i="7" s="1"/>
  <c r="N49" i="6"/>
  <c r="N57" i="7" s="1"/>
  <c r="E47" i="4"/>
  <c r="E56" i="4" s="1"/>
  <c r="D46" i="3"/>
  <c r="D55" i="4" s="1"/>
  <c r="D43" i="3"/>
  <c r="I44" i="2"/>
  <c r="J54" i="4"/>
  <c r="K45" i="3"/>
  <c r="K54" i="4" s="1"/>
  <c r="L47" i="2"/>
  <c r="C48" i="2"/>
  <c r="C57" i="4" s="1"/>
  <c r="I57" i="4"/>
  <c r="K49" i="3"/>
  <c r="D51" i="7"/>
  <c r="H45" i="4"/>
  <c r="M49" i="4"/>
  <c r="M58" i="4" s="1"/>
  <c r="L52" i="4"/>
  <c r="E46" i="2"/>
  <c r="C46" i="7"/>
  <c r="C54" i="7" s="1"/>
  <c r="F48" i="4"/>
  <c r="F57" i="4" s="1"/>
  <c r="F49" i="4"/>
  <c r="F58" i="4" s="1"/>
  <c r="H45" i="2"/>
  <c r="N48" i="4"/>
  <c r="N57" i="4" s="1"/>
  <c r="L48" i="3"/>
  <c r="L57" i="4" s="1"/>
  <c r="H47" i="4"/>
  <c r="H56" i="4" s="1"/>
  <c r="G47" i="4"/>
  <c r="G56" i="4" s="1"/>
  <c r="G47" i="6"/>
  <c r="G55" i="7" s="1"/>
  <c r="M45" i="4"/>
  <c r="M54" i="4" s="1"/>
  <c r="L45" i="4"/>
  <c r="L54" i="4" s="1"/>
  <c r="D45" i="4"/>
  <c r="D54" i="4" s="1"/>
  <c r="N56" i="7"/>
  <c r="G54" i="7"/>
  <c r="F56" i="7"/>
  <c r="C56" i="7"/>
  <c r="M51" i="7"/>
  <c r="F43" i="5"/>
  <c r="F51" i="7" s="1"/>
  <c r="F45" i="5"/>
  <c r="F46" i="5"/>
  <c r="F47" i="5"/>
  <c r="F55" i="7" s="1"/>
  <c r="F49" i="5"/>
  <c r="G48" i="5"/>
  <c r="I54" i="7"/>
  <c r="G56" i="7"/>
  <c r="C51" i="7"/>
  <c r="M47" i="6"/>
  <c r="K44" i="7"/>
  <c r="K52" i="7" s="1"/>
  <c r="E44" i="6"/>
  <c r="L49" i="5"/>
  <c r="L43" i="5"/>
  <c r="L51" i="7" s="1"/>
  <c r="M47" i="5"/>
  <c r="C46" i="5"/>
  <c r="M45" i="7"/>
  <c r="K47" i="7"/>
  <c r="K55" i="7" s="1"/>
  <c r="J49" i="7"/>
  <c r="J57" i="7" s="1"/>
  <c r="F52" i="7"/>
  <c r="N46" i="6"/>
  <c r="N54" i="7" s="1"/>
  <c r="M46" i="5"/>
  <c r="L46" i="6"/>
  <c r="L54" i="7" s="1"/>
  <c r="J46" i="7"/>
  <c r="J54" i="7" s="1"/>
  <c r="J48" i="7"/>
  <c r="J56" i="7" s="1"/>
  <c r="L44" i="6"/>
  <c r="L52" i="7" s="1"/>
  <c r="D47" i="6"/>
  <c r="F45" i="6"/>
  <c r="F53" i="7" s="1"/>
  <c r="M48" i="6"/>
  <c r="H46" i="4"/>
  <c r="H55" i="4" s="1"/>
  <c r="L47" i="3"/>
  <c r="E49" i="2"/>
  <c r="D44" i="4"/>
  <c r="D53" i="4" s="1"/>
  <c r="C45" i="3"/>
  <c r="C54" i="4" s="1"/>
  <c r="D47" i="2"/>
  <c r="L47" i="4"/>
  <c r="H45" i="6"/>
  <c r="H53" i="7" s="1"/>
  <c r="K44" i="4"/>
  <c r="K53" i="4" s="1"/>
  <c r="D49" i="4"/>
  <c r="D58" i="4" s="1"/>
  <c r="C52" i="4"/>
  <c r="I45" i="2"/>
  <c r="I54" i="4" s="1"/>
  <c r="M44" i="7"/>
  <c r="I56" i="4"/>
  <c r="J53" i="4"/>
  <c r="N49" i="4"/>
  <c r="N58" i="4" s="1"/>
  <c r="L44" i="2"/>
  <c r="E48" i="4"/>
  <c r="E57" i="4" s="1"/>
  <c r="G44" i="4"/>
  <c r="G53" i="4" s="1"/>
  <c r="F44" i="4"/>
  <c r="F53" i="4" s="1"/>
  <c r="G45" i="6"/>
  <c r="G53" i="7" s="1"/>
  <c r="K44" i="2"/>
  <c r="D48" i="3"/>
  <c r="L44" i="3"/>
  <c r="L53" i="4" s="1"/>
  <c r="J46" i="2"/>
  <c r="J55" i="4" s="1"/>
  <c r="L56" i="4" l="1"/>
  <c r="M53" i="7"/>
  <c r="M52" i="7"/>
  <c r="C52" i="7"/>
  <c r="M56" i="7"/>
  <c r="E54" i="4"/>
  <c r="E58" i="4"/>
  <c r="E52" i="7"/>
  <c r="M55" i="7"/>
  <c r="D55" i="7"/>
  <c r="H54" i="4"/>
  <c r="E55" i="4"/>
  <c r="L57" i="7"/>
  <c r="E55" i="7"/>
  <c r="F57" i="7"/>
  <c r="D57" i="4"/>
  <c r="M54" i="7"/>
</calcChain>
</file>

<file path=xl/sharedStrings.xml><?xml version="1.0" encoding="utf-8"?>
<sst xmlns="http://schemas.openxmlformats.org/spreadsheetml/2006/main" count="253" uniqueCount="59">
  <si>
    <t>Software Version</t>
  </si>
  <si>
    <t>3.16.10</t>
  </si>
  <si>
    <t>Experiment File Path:</t>
  </si>
  <si>
    <t>C:\Users\Plate Reader Access\Desktop\Selmecki lab\Petra\mic_2025_06_04.xpt</t>
  </si>
  <si>
    <t>Protocol File Path:</t>
  </si>
  <si>
    <t>C:\Users\Public\Documents\Protocols\InitialOD.prt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</si>
  <si>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</si>
  <si>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</si>
  <si>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</si>
  <si>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</si>
  <si>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</si>
  <si>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</si>
  <si>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</si>
  <si>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</si>
  <si>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</si>
  <si>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</si>
  <si>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</si>
  <si>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</si>
  <si>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</si>
  <si>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</si>
  <si>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</si>
  <si>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</si>
  <si>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</si>
  <si>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</si>
  <si>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</si>
  <si>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</si>
  <si>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</si>
  <si>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</si>
  <si>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</si>
  <si>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</si>
  <si>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</si>
  <si>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</si>
  <si>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</si>
  <si>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</si>
  <si>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5</t>
  </si>
  <si>
    <t>Plate 6</t>
  </si>
  <si>
    <t>L26</t>
  </si>
  <si>
    <t>Plate 7</t>
  </si>
  <si>
    <t>Plate 8</t>
  </si>
  <si>
    <t>Plate 9</t>
  </si>
  <si>
    <t>AMS2401</t>
  </si>
  <si>
    <t>P75063</t>
  </si>
  <si>
    <t>P75016</t>
  </si>
  <si>
    <t>AMS5192</t>
  </si>
  <si>
    <t>AMS2401 guide 1</t>
  </si>
  <si>
    <t>P75063 guide 1</t>
  </si>
  <si>
    <t>P75016 guide 1</t>
  </si>
  <si>
    <t>L26 guide 1</t>
  </si>
  <si>
    <t>AMS5192 guide 1</t>
  </si>
  <si>
    <t>AMS2401 guide 1 transformant 2</t>
  </si>
  <si>
    <t>L26 guide 1 transformant 2</t>
  </si>
  <si>
    <t>FLC</t>
  </si>
  <si>
    <t>AMS2401 guide 2</t>
  </si>
  <si>
    <t>P75063 guide 2</t>
  </si>
  <si>
    <t>P75016 guide 2</t>
  </si>
  <si>
    <t>L26 guide 2</t>
  </si>
  <si>
    <t>AMS5192 guide 2</t>
  </si>
  <si>
    <t>AMS2401 guide 2 transformant 2</t>
  </si>
  <si>
    <t>L26 guide 2 transformant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</si>
</sst>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"/>
      <name val="Arial"/>
      <family val="2"/>
    </font>
    <font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1" fontId="6" fillId="0" borderId="0" xfId="1" applyNumberFormat="1" applyFont="1"/>
    <xf numFmtId="0" fontId="1" fillId="0" borderId="2" xfId="1" applyBorder="1"/>
    <xf numFmtId="0" fontId="3" fillId="13" borderId="1" xfId="1" applyFont="1" applyFill="1" applyBorder="1" applyAlignment="1">
      <alignment horizontal="center" vertical="center" wrapText="1"/>
    </xf>
    <xf numFmtId="0" fontId="1" fillId="0" borderId="3" xfId="1" applyBorder="1"/>
    <xf numFmtId="0" fontId="1" fillId="0" borderId="0" xfId="1" applyBorder="1"/>
    <xf numFmtId="1" fontId="6" fillId="0" borderId="0" xfId="1" applyNumberFormat="1" applyFont="1" applyBorder="1"/>
    <xf numFmtId="1" fontId="7" fillId="0" borderId="0" xfId="1" applyNumberFormat="1" applyFont="1" applyBorder="1"/>
  </cellXfs>
  <cellStyles count="2">
    <cellStyle name="Normal" xfId="0" builtinId="0"/>
    <cellStyle name="Normal 2" xfId="1" xr:uid="{6B3A45A2-B63E-3B4E-934E-C3F7854D0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350F-5AF1-5F42-B214-BB52C61D79A7}">
  <dimension ref="A2:P49"/>
  <sheetViews>
    <sheetView workbookViewId="0">
      <selection activeCell="C23" sqref="C23:N23"/>
    </sheetView>
  </sheetViews>
  <sheetFormatPr baseColWidth="10" defaultColWidth="9.1640625" defaultRowHeight="13"/>
  <cols>
    <col min="1" max="1" width="20.6640625" style="1" customWidth="1"/>
    <col min="2" max="2" width="12.6640625" style="1" customWidth="1"/>
    <col min="3" max="16384" width="9.1640625" style="1"/>
  </cols>
  <sheetData>
    <row r="2" spans="1:2">
      <c r="A2" s="1" t="s">
        <v>0</v>
      </c>
      <c r="B2" s="1" t="s">
        <v>1</v>
      </c>
    </row>
    <row r="4" spans="1:2">
      <c r="A4" s="1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2">
        <v>45812</v>
      </c>
    </row>
    <row r="8" spans="1:2">
      <c r="A8" s="1" t="s">
        <v>9</v>
      </c>
      <c r="B8" s="3">
        <v>0.61015046296296294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>
        <v>25030902</v>
      </c>
    </row>
    <row r="11" spans="1:2">
      <c r="A11" s="1" t="s">
        <v>13</v>
      </c>
      <c r="B11" s="1" t="s">
        <v>14</v>
      </c>
    </row>
    <row r="13" spans="1:2" ht="14">
      <c r="A13" s="4" t="s">
        <v>15</v>
      </c>
      <c r="B13" s="5"/>
    </row>
    <row r="14" spans="1:2">
      <c r="A14" s="1" t="s">
        <v>16</v>
      </c>
      <c r="B14" s="1" t="s">
        <v>17</v>
      </c>
    </row>
    <row r="15" spans="1:2">
      <c r="A15" s="1" t="s">
        <v>18</v>
      </c>
    </row>
    <row r="16" spans="1:2">
      <c r="A16" s="1" t="s">
        <v>19</v>
      </c>
      <c r="B16" s="1" t="s">
        <v>20</v>
      </c>
    </row>
    <row r="17" spans="1:16">
      <c r="B17" s="1" t="s">
        <v>21</v>
      </c>
    </row>
    <row r="18" spans="1:16">
      <c r="B18" s="1" t="s">
        <v>22</v>
      </c>
    </row>
    <row r="19" spans="1:16">
      <c r="B19" s="1" t="s">
        <v>23</v>
      </c>
    </row>
    <row r="21" spans="1:16" ht="14">
      <c r="A21" s="4" t="s">
        <v>24</v>
      </c>
      <c r="B21" s="5"/>
    </row>
    <row r="22" spans="1:16">
      <c r="A22" s="1" t="s">
        <v>25</v>
      </c>
      <c r="B22" s="1">
        <v>30</v>
      </c>
    </row>
    <row r="23" spans="1:16">
      <c r="C23" s="1" t="s">
        <v>40</v>
      </c>
      <c r="D23" s="1" t="s">
        <v>41</v>
      </c>
      <c r="E23" s="1" t="s">
        <v>42</v>
      </c>
      <c r="F23" s="1" t="s">
        <v>36</v>
      </c>
      <c r="G23" s="1" t="s">
        <v>43</v>
      </c>
      <c r="H23" s="1" t="s">
        <v>44</v>
      </c>
      <c r="I23" s="1" t="s">
        <v>45</v>
      </c>
      <c r="J23" s="1" t="s">
        <v>46</v>
      </c>
      <c r="K23" s="1" t="s">
        <v>47</v>
      </c>
      <c r="L23" s="1" t="s">
        <v>48</v>
      </c>
      <c r="M23" s="1" t="s">
        <v>49</v>
      </c>
      <c r="N23" s="1" t="s">
        <v>50</v>
      </c>
    </row>
    <row r="24" spans="1:16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6" ht="14">
      <c r="B25" s="7" t="s">
        <v>26</v>
      </c>
      <c r="C25" s="8">
        <v>0.10299999999999999</v>
      </c>
      <c r="D25" s="8">
        <v>9.7000000000000003E-2</v>
      </c>
      <c r="E25" s="8">
        <v>9.8000000000000004E-2</v>
      </c>
      <c r="F25" s="8">
        <v>9.7000000000000003E-2</v>
      </c>
      <c r="G25" s="8">
        <v>9.7000000000000003E-2</v>
      </c>
      <c r="H25" s="8">
        <v>9.9000000000000005E-2</v>
      </c>
      <c r="I25" s="8">
        <v>0.10299999999999999</v>
      </c>
      <c r="J25" s="8">
        <v>0.10100000000000001</v>
      </c>
      <c r="K25" s="8">
        <v>0.10199999999999999</v>
      </c>
      <c r="L25" s="8">
        <v>0.106</v>
      </c>
      <c r="M25" s="8">
        <v>0.105</v>
      </c>
      <c r="N25" s="8">
        <v>9.9000000000000005E-2</v>
      </c>
      <c r="O25" s="9">
        <v>600</v>
      </c>
      <c r="P25" s="1">
        <f>AVERAGE(C25:N25)</f>
        <v>0.10058333333333332</v>
      </c>
    </row>
    <row r="26" spans="1:16" ht="14">
      <c r="B26" s="7" t="s">
        <v>27</v>
      </c>
      <c r="C26" s="10">
        <v>1.3360000000000001</v>
      </c>
      <c r="D26" s="11">
        <v>1.4970000000000001</v>
      </c>
      <c r="E26" s="11">
        <v>1.4630000000000001</v>
      </c>
      <c r="F26" s="11">
        <v>1.4730000000000001</v>
      </c>
      <c r="G26" s="11">
        <v>1.492</v>
      </c>
      <c r="H26" s="11">
        <v>1.448</v>
      </c>
      <c r="I26" s="11">
        <v>1.512</v>
      </c>
      <c r="J26" s="11">
        <v>1.4510000000000001</v>
      </c>
      <c r="K26" s="11">
        <v>1.4630000000000001</v>
      </c>
      <c r="L26" s="11">
        <v>1.454</v>
      </c>
      <c r="M26" s="11">
        <v>1.4470000000000001</v>
      </c>
      <c r="N26" s="10">
        <v>1.38</v>
      </c>
      <c r="O26" s="9">
        <v>600</v>
      </c>
    </row>
    <row r="27" spans="1:16" ht="14">
      <c r="B27" s="7" t="s">
        <v>28</v>
      </c>
      <c r="C27" s="12">
        <v>1.274</v>
      </c>
      <c r="D27" s="13">
        <v>1.1539999999999999</v>
      </c>
      <c r="E27" s="11">
        <v>1.4630000000000001</v>
      </c>
      <c r="F27" s="11">
        <v>1.5</v>
      </c>
      <c r="G27" s="12">
        <v>1.294</v>
      </c>
      <c r="H27" s="11">
        <v>1.518</v>
      </c>
      <c r="I27" s="11">
        <v>1.5189999999999999</v>
      </c>
      <c r="J27" s="11">
        <v>1.496</v>
      </c>
      <c r="K27" s="11">
        <v>1.5029999999999999</v>
      </c>
      <c r="L27" s="11">
        <v>1.4710000000000001</v>
      </c>
      <c r="M27" s="11">
        <v>1.482</v>
      </c>
      <c r="N27" s="10">
        <v>1.415</v>
      </c>
      <c r="O27" s="9">
        <v>600</v>
      </c>
    </row>
    <row r="28" spans="1:16" ht="14">
      <c r="B28" s="7" t="s">
        <v>29</v>
      </c>
      <c r="C28" s="14">
        <v>0.34799999999999998</v>
      </c>
      <c r="D28" s="15">
        <v>0.51900000000000002</v>
      </c>
      <c r="E28" s="15">
        <v>0.52100000000000002</v>
      </c>
      <c r="F28" s="11">
        <v>1.4910000000000001</v>
      </c>
      <c r="G28" s="16">
        <v>0.41399999999999998</v>
      </c>
      <c r="H28" s="11">
        <v>1.506</v>
      </c>
      <c r="I28" s="11">
        <v>1.5369999999999999</v>
      </c>
      <c r="J28" s="11">
        <v>1.5049999999999999</v>
      </c>
      <c r="K28" s="11">
        <v>1.502</v>
      </c>
      <c r="L28" s="11">
        <v>1.4650000000000001</v>
      </c>
      <c r="M28" s="11">
        <v>1.4810000000000001</v>
      </c>
      <c r="N28" s="10">
        <v>1.421</v>
      </c>
      <c r="O28" s="9">
        <v>600</v>
      </c>
    </row>
    <row r="29" spans="1:16" ht="14">
      <c r="B29" s="7" t="s">
        <v>30</v>
      </c>
      <c r="C29" s="8">
        <v>0.19700000000000001</v>
      </c>
      <c r="D29" s="14">
        <v>0.309</v>
      </c>
      <c r="E29" s="14">
        <v>0.33600000000000002</v>
      </c>
      <c r="F29" s="11">
        <v>1.446</v>
      </c>
      <c r="G29" s="14">
        <v>0.314</v>
      </c>
      <c r="H29" s="11">
        <v>1.4790000000000001</v>
      </c>
      <c r="I29" s="17">
        <v>0.64800000000000002</v>
      </c>
      <c r="J29" s="16">
        <v>0.499</v>
      </c>
      <c r="K29" s="11">
        <v>1.4630000000000001</v>
      </c>
      <c r="L29" s="11">
        <v>1.4570000000000001</v>
      </c>
      <c r="M29" s="11">
        <v>1.472</v>
      </c>
      <c r="N29" s="10">
        <v>1.413</v>
      </c>
      <c r="O29" s="9">
        <v>600</v>
      </c>
    </row>
    <row r="30" spans="1:16" ht="14">
      <c r="B30" s="7" t="s">
        <v>31</v>
      </c>
      <c r="C30" s="8">
        <v>0.14799999999999999</v>
      </c>
      <c r="D30" s="18">
        <v>0.28699999999999998</v>
      </c>
      <c r="E30" s="18">
        <v>0.29399999999999998</v>
      </c>
      <c r="F30" s="15">
        <v>0.58899999999999997</v>
      </c>
      <c r="G30" s="18">
        <v>0.28799999999999998</v>
      </c>
      <c r="H30" s="16">
        <v>0.40799999999999997</v>
      </c>
      <c r="I30" s="14">
        <v>0.33400000000000002</v>
      </c>
      <c r="J30" s="18">
        <v>0.29899999999999999</v>
      </c>
      <c r="K30" s="11">
        <v>1.4590000000000001</v>
      </c>
      <c r="L30" s="16">
        <v>0.43</v>
      </c>
      <c r="M30" s="14">
        <v>0.371</v>
      </c>
      <c r="N30" s="10">
        <v>1.3939999999999999</v>
      </c>
      <c r="O30" s="9">
        <v>600</v>
      </c>
    </row>
    <row r="31" spans="1:16" ht="14">
      <c r="B31" s="7" t="s">
        <v>32</v>
      </c>
      <c r="C31" s="8">
        <v>0.13100000000000001</v>
      </c>
      <c r="D31" s="18">
        <v>0.28000000000000003</v>
      </c>
      <c r="E31" s="18">
        <v>0.25900000000000001</v>
      </c>
      <c r="F31" s="18">
        <v>0.29799999999999999</v>
      </c>
      <c r="G31" s="18">
        <v>0.26400000000000001</v>
      </c>
      <c r="H31" s="18">
        <v>0.29399999999999998</v>
      </c>
      <c r="I31" s="18">
        <v>0.29299999999999998</v>
      </c>
      <c r="J31" s="18">
        <v>0.27700000000000002</v>
      </c>
      <c r="K31" s="14">
        <v>0.4</v>
      </c>
      <c r="L31" s="18">
        <v>0.245</v>
      </c>
      <c r="M31" s="18">
        <v>0.25</v>
      </c>
      <c r="N31" s="14">
        <v>0.316</v>
      </c>
      <c r="O31" s="9">
        <v>600</v>
      </c>
    </row>
    <row r="32" spans="1:16" ht="14">
      <c r="B32" s="7" t="s">
        <v>33</v>
      </c>
      <c r="C32" s="8">
        <v>0.125</v>
      </c>
      <c r="D32" s="8">
        <v>0.16800000000000001</v>
      </c>
      <c r="E32" s="8">
        <v>0.14099999999999999</v>
      </c>
      <c r="F32" s="8">
        <v>0.152</v>
      </c>
      <c r="G32" s="8">
        <v>0.158</v>
      </c>
      <c r="H32" s="8">
        <v>0.18099999999999999</v>
      </c>
      <c r="I32" s="18">
        <v>0.215</v>
      </c>
      <c r="J32" s="18">
        <v>0.217</v>
      </c>
      <c r="K32" s="8">
        <v>0.19500000000000001</v>
      </c>
      <c r="L32" s="8">
        <v>0.191</v>
      </c>
      <c r="M32" s="8">
        <v>0.17399999999999999</v>
      </c>
      <c r="N32" s="8">
        <v>0.152</v>
      </c>
      <c r="O32" s="9">
        <v>600</v>
      </c>
    </row>
    <row r="35" spans="3:14">
      <c r="C35" s="1">
        <f>C26-$P$25</f>
        <v>1.2354166666666668</v>
      </c>
      <c r="D35" s="1">
        <f t="shared" ref="D35:N35" si="0">D26-$P$25</f>
        <v>1.3964166666666669</v>
      </c>
      <c r="E35" s="1">
        <f t="shared" si="0"/>
        <v>1.3624166666666668</v>
      </c>
      <c r="F35" s="1">
        <f t="shared" si="0"/>
        <v>1.3724166666666668</v>
      </c>
      <c r="G35" s="1">
        <f t="shared" si="0"/>
        <v>1.3914166666666667</v>
      </c>
      <c r="H35" s="1">
        <f t="shared" si="0"/>
        <v>1.3474166666666667</v>
      </c>
      <c r="I35" s="1">
        <f t="shared" si="0"/>
        <v>1.4114166666666668</v>
      </c>
      <c r="J35" s="1">
        <f t="shared" si="0"/>
        <v>1.3504166666666668</v>
      </c>
      <c r="K35" s="1">
        <f t="shared" si="0"/>
        <v>1.3624166666666668</v>
      </c>
      <c r="L35" s="1">
        <f t="shared" si="0"/>
        <v>1.3534166666666667</v>
      </c>
      <c r="M35" s="1">
        <f t="shared" si="0"/>
        <v>1.3464166666666668</v>
      </c>
      <c r="N35" s="1">
        <f t="shared" si="0"/>
        <v>1.2794166666666666</v>
      </c>
    </row>
    <row r="36" spans="3:14">
      <c r="C36" s="1">
        <f t="shared" ref="C36:N41" si="1">C27-$P$25</f>
        <v>1.1734166666666668</v>
      </c>
      <c r="D36" s="1">
        <f t="shared" si="1"/>
        <v>1.0534166666666667</v>
      </c>
      <c r="E36" s="1">
        <f t="shared" si="1"/>
        <v>1.3624166666666668</v>
      </c>
      <c r="F36" s="1">
        <f t="shared" si="1"/>
        <v>1.3994166666666668</v>
      </c>
      <c r="G36" s="1">
        <f t="shared" si="1"/>
        <v>1.1934166666666668</v>
      </c>
      <c r="H36" s="1">
        <f t="shared" si="1"/>
        <v>1.4174166666666668</v>
      </c>
      <c r="I36" s="1">
        <f t="shared" si="1"/>
        <v>1.4184166666666667</v>
      </c>
      <c r="J36" s="1">
        <f t="shared" si="1"/>
        <v>1.3954166666666667</v>
      </c>
      <c r="K36" s="1">
        <f t="shared" si="1"/>
        <v>1.4024166666666666</v>
      </c>
      <c r="L36" s="1">
        <f t="shared" si="1"/>
        <v>1.3704166666666668</v>
      </c>
      <c r="M36" s="1">
        <f t="shared" si="1"/>
        <v>1.3814166666666667</v>
      </c>
      <c r="N36" s="1">
        <f t="shared" si="1"/>
        <v>1.3144166666666668</v>
      </c>
    </row>
    <row r="37" spans="3:14">
      <c r="C37" s="1">
        <f t="shared" si="1"/>
        <v>0.24741666666666667</v>
      </c>
      <c r="D37" s="1">
        <f t="shared" si="1"/>
        <v>0.41841666666666671</v>
      </c>
      <c r="E37" s="1">
        <f t="shared" si="1"/>
        <v>0.42041666666666672</v>
      </c>
      <c r="F37" s="1">
        <f t="shared" si="1"/>
        <v>1.3904166666666669</v>
      </c>
      <c r="G37" s="1">
        <f t="shared" si="1"/>
        <v>0.31341666666666668</v>
      </c>
      <c r="H37" s="1">
        <f t="shared" si="1"/>
        <v>1.4054166666666668</v>
      </c>
      <c r="I37" s="1">
        <f t="shared" si="1"/>
        <v>1.4364166666666667</v>
      </c>
      <c r="J37" s="1">
        <f t="shared" si="1"/>
        <v>1.4044166666666666</v>
      </c>
      <c r="K37" s="1">
        <f t="shared" si="1"/>
        <v>1.4014166666666668</v>
      </c>
      <c r="L37" s="1">
        <f t="shared" si="1"/>
        <v>1.3644166666666668</v>
      </c>
      <c r="M37" s="1">
        <f t="shared" si="1"/>
        <v>1.3804166666666668</v>
      </c>
      <c r="N37" s="1">
        <f t="shared" si="1"/>
        <v>1.3204166666666668</v>
      </c>
    </row>
    <row r="38" spans="3:14">
      <c r="C38" s="1">
        <f t="shared" si="1"/>
        <v>9.6416666666666692E-2</v>
      </c>
      <c r="D38" s="1">
        <f t="shared" si="1"/>
        <v>0.20841666666666669</v>
      </c>
      <c r="E38" s="1">
        <f t="shared" si="1"/>
        <v>0.23541666666666672</v>
      </c>
      <c r="F38" s="1">
        <f t="shared" si="1"/>
        <v>1.3454166666666667</v>
      </c>
      <c r="G38" s="1">
        <f t="shared" si="1"/>
        <v>0.2134166666666667</v>
      </c>
      <c r="H38" s="1">
        <f t="shared" si="1"/>
        <v>1.3784166666666668</v>
      </c>
      <c r="I38" s="1">
        <f t="shared" si="1"/>
        <v>0.54741666666666666</v>
      </c>
      <c r="J38" s="1">
        <f t="shared" si="1"/>
        <v>0.3984166666666667</v>
      </c>
      <c r="K38" s="1">
        <f t="shared" si="1"/>
        <v>1.3624166666666668</v>
      </c>
      <c r="L38" s="1">
        <f t="shared" si="1"/>
        <v>1.3564166666666668</v>
      </c>
      <c r="M38" s="1">
        <f t="shared" si="1"/>
        <v>1.3714166666666667</v>
      </c>
      <c r="N38" s="1">
        <f t="shared" si="1"/>
        <v>1.3124166666666668</v>
      </c>
    </row>
    <row r="39" spans="3:14">
      <c r="C39" s="1">
        <f t="shared" si="1"/>
        <v>4.7416666666666676E-2</v>
      </c>
      <c r="D39" s="1">
        <f t="shared" si="1"/>
        <v>0.18641666666666667</v>
      </c>
      <c r="E39" s="1">
        <f t="shared" si="1"/>
        <v>0.19341666666666668</v>
      </c>
      <c r="F39" s="1">
        <f t="shared" si="1"/>
        <v>0.48841666666666667</v>
      </c>
      <c r="G39" s="1">
        <f t="shared" si="1"/>
        <v>0.18741666666666668</v>
      </c>
      <c r="H39" s="1">
        <f t="shared" si="1"/>
        <v>0.30741666666666667</v>
      </c>
      <c r="I39" s="1">
        <f t="shared" si="1"/>
        <v>0.23341666666666672</v>
      </c>
      <c r="J39" s="1">
        <f t="shared" si="1"/>
        <v>0.19841666666666669</v>
      </c>
      <c r="K39" s="1">
        <f t="shared" si="1"/>
        <v>1.3584166666666668</v>
      </c>
      <c r="L39" s="1">
        <f t="shared" si="1"/>
        <v>0.32941666666666669</v>
      </c>
      <c r="M39" s="1">
        <f t="shared" si="1"/>
        <v>0.27041666666666669</v>
      </c>
      <c r="N39" s="1">
        <f t="shared" si="1"/>
        <v>1.2934166666666667</v>
      </c>
    </row>
    <row r="40" spans="3:14">
      <c r="C40" s="1">
        <f t="shared" si="1"/>
        <v>3.0416666666666689E-2</v>
      </c>
      <c r="D40" s="1">
        <f t="shared" si="1"/>
        <v>0.17941666666666672</v>
      </c>
      <c r="E40" s="1">
        <f t="shared" si="1"/>
        <v>0.15841666666666671</v>
      </c>
      <c r="F40" s="1">
        <f t="shared" si="1"/>
        <v>0.19741666666666668</v>
      </c>
      <c r="G40" s="1">
        <f t="shared" si="1"/>
        <v>0.16341666666666671</v>
      </c>
      <c r="H40" s="1">
        <f t="shared" si="1"/>
        <v>0.19341666666666668</v>
      </c>
      <c r="I40" s="1">
        <f t="shared" si="1"/>
        <v>0.19241666666666668</v>
      </c>
      <c r="J40" s="1">
        <f t="shared" si="1"/>
        <v>0.17641666666666672</v>
      </c>
      <c r="K40" s="1">
        <f t="shared" si="1"/>
        <v>0.29941666666666672</v>
      </c>
      <c r="L40" s="1">
        <f t="shared" si="1"/>
        <v>0.14441666666666669</v>
      </c>
      <c r="M40" s="1">
        <f t="shared" si="1"/>
        <v>0.1494166666666667</v>
      </c>
      <c r="N40" s="1">
        <f t="shared" si="1"/>
        <v>0.2154166666666667</v>
      </c>
    </row>
    <row r="41" spans="3:14">
      <c r="C41" s="1">
        <f t="shared" si="1"/>
        <v>2.4416666666666684E-2</v>
      </c>
      <c r="D41" s="1">
        <f t="shared" si="1"/>
        <v>6.7416666666666694E-2</v>
      </c>
      <c r="E41" s="1">
        <f t="shared" si="1"/>
        <v>4.041666666666667E-2</v>
      </c>
      <c r="F41" s="1">
        <f t="shared" si="1"/>
        <v>5.141666666666668E-2</v>
      </c>
      <c r="G41" s="1">
        <f t="shared" si="1"/>
        <v>5.7416666666666685E-2</v>
      </c>
      <c r="H41" s="1">
        <f t="shared" si="1"/>
        <v>8.0416666666666678E-2</v>
      </c>
      <c r="I41" s="1">
        <f t="shared" si="1"/>
        <v>0.11441666666666668</v>
      </c>
      <c r="J41" s="1">
        <f t="shared" si="1"/>
        <v>0.11641666666666668</v>
      </c>
      <c r="K41" s="1">
        <f t="shared" si="1"/>
        <v>9.441666666666669E-2</v>
      </c>
      <c r="L41" s="1">
        <f t="shared" si="1"/>
        <v>9.0416666666666687E-2</v>
      </c>
      <c r="M41" s="1">
        <f t="shared" si="1"/>
        <v>7.3416666666666672E-2</v>
      </c>
      <c r="N41" s="1">
        <f t="shared" si="1"/>
        <v>5.141666666666668E-2</v>
      </c>
    </row>
    <row r="43" spans="3:14">
      <c r="C43" s="1">
        <f>C35/$C$35</f>
        <v>1</v>
      </c>
      <c r="D43" s="1">
        <f>D35/$D$35</f>
        <v>1</v>
      </c>
      <c r="E43" s="1">
        <f>E35/$E$35</f>
        <v>1</v>
      </c>
      <c r="F43" s="1">
        <f>F35/$F$35</f>
        <v>1</v>
      </c>
      <c r="G43" s="1">
        <f>G35/$G$35</f>
        <v>1</v>
      </c>
      <c r="H43" s="1">
        <f>H35/$H$35</f>
        <v>1</v>
      </c>
      <c r="I43" s="1">
        <f>I35/$I$35</f>
        <v>1</v>
      </c>
      <c r="J43" s="1">
        <f>J35/$J$35</f>
        <v>1</v>
      </c>
      <c r="K43" s="1">
        <f>K35/$K$35</f>
        <v>1</v>
      </c>
      <c r="L43" s="1">
        <f>L35/$L$35</f>
        <v>1</v>
      </c>
      <c r="M43" s="1">
        <f>M35/$M$35</f>
        <v>1</v>
      </c>
      <c r="N43" s="1">
        <f>N35/$N$35</f>
        <v>1</v>
      </c>
    </row>
    <row r="44" spans="3:14">
      <c r="C44" s="1">
        <f t="shared" ref="C44:C49" si="2">C36/$C$35</f>
        <v>0.94981450252951094</v>
      </c>
      <c r="D44" s="1">
        <f t="shared" ref="D44:D49" si="3">D36/$D$35</f>
        <v>0.75437130751327797</v>
      </c>
      <c r="E44" s="1">
        <f t="shared" ref="E44:E49" si="4">E36/$E$35</f>
        <v>1</v>
      </c>
      <c r="F44" s="1">
        <f t="shared" ref="F44:F49" si="5">F36/$F$35</f>
        <v>1.0196733256421153</v>
      </c>
      <c r="G44" s="1">
        <f t="shared" ref="G44:G49" si="6">G36/$G$35</f>
        <v>0.85769898784212739</v>
      </c>
      <c r="H44" s="1">
        <f t="shared" ref="H44:H49" si="7">H36/$H$35</f>
        <v>1.0519512647659102</v>
      </c>
      <c r="I44" s="1">
        <f t="shared" ref="I44:I49" si="8">I36/$I$35</f>
        <v>1.0049595560016531</v>
      </c>
      <c r="J44" s="1">
        <f t="shared" ref="J44:J49" si="9">J36/$J$35</f>
        <v>1.033323048441839</v>
      </c>
      <c r="K44" s="1">
        <f t="shared" ref="K44:K49" si="10">K36/$K$35</f>
        <v>1.0293595938589515</v>
      </c>
      <c r="L44" s="1">
        <f t="shared" ref="L44:L49" si="11">L36/$L$35</f>
        <v>1.0125608029062252</v>
      </c>
      <c r="M44" s="1">
        <f t="shared" ref="M44:M49" si="12">M36/$M$35</f>
        <v>1.0259949248003961</v>
      </c>
      <c r="N44" s="1">
        <f t="shared" ref="N44:N49" si="13">N36/$N$35</f>
        <v>1.0273562170259884</v>
      </c>
    </row>
    <row r="45" spans="3:14">
      <c r="C45" s="1">
        <f t="shared" si="2"/>
        <v>0.20026981450252948</v>
      </c>
      <c r="D45" s="1">
        <f t="shared" si="3"/>
        <v>0.29963597302619799</v>
      </c>
      <c r="E45" s="1">
        <f t="shared" si="4"/>
        <v>0.3085815646216894</v>
      </c>
      <c r="F45" s="1">
        <f t="shared" si="5"/>
        <v>1.0131155504280771</v>
      </c>
      <c r="G45" s="1">
        <f t="shared" si="6"/>
        <v>0.22525004491824879</v>
      </c>
      <c r="H45" s="1">
        <f t="shared" si="7"/>
        <v>1.0430453336631826</v>
      </c>
      <c r="I45" s="1">
        <f t="shared" si="8"/>
        <v>1.0177127000059041</v>
      </c>
      <c r="J45" s="1">
        <f t="shared" si="9"/>
        <v>1.0399876581302065</v>
      </c>
      <c r="K45" s="1">
        <f t="shared" si="10"/>
        <v>1.0286256040124777</v>
      </c>
      <c r="L45" s="1">
        <f t="shared" si="11"/>
        <v>1.0081275783510868</v>
      </c>
      <c r="M45" s="1">
        <f t="shared" si="12"/>
        <v>1.025252212663242</v>
      </c>
      <c r="N45" s="1">
        <f t="shared" si="13"/>
        <v>1.0320458542304436</v>
      </c>
    </row>
    <row r="46" spans="3:14">
      <c r="C46" s="1">
        <f t="shared" si="2"/>
        <v>7.8043844856661063E-2</v>
      </c>
      <c r="D46" s="1">
        <f t="shared" si="3"/>
        <v>0.14925105925881721</v>
      </c>
      <c r="E46" s="1">
        <f t="shared" si="4"/>
        <v>0.17279344302403818</v>
      </c>
      <c r="F46" s="1">
        <f t="shared" si="5"/>
        <v>0.98032667435788445</v>
      </c>
      <c r="G46" s="1">
        <f t="shared" si="6"/>
        <v>0.15338084685871714</v>
      </c>
      <c r="H46" s="1">
        <f t="shared" si="7"/>
        <v>1.0230069886820461</v>
      </c>
      <c r="I46" s="1">
        <f t="shared" si="8"/>
        <v>0.38784908779594968</v>
      </c>
      <c r="J46" s="1">
        <f t="shared" si="9"/>
        <v>0.29503239740820736</v>
      </c>
      <c r="K46" s="1">
        <f t="shared" si="10"/>
        <v>1</v>
      </c>
      <c r="L46" s="1">
        <f t="shared" si="11"/>
        <v>1.0022166122775693</v>
      </c>
      <c r="M46" s="1">
        <f t="shared" si="12"/>
        <v>1.0185678034288543</v>
      </c>
      <c r="N46" s="1">
        <f t="shared" si="13"/>
        <v>1.0257930046245034</v>
      </c>
    </row>
    <row r="47" spans="3:14">
      <c r="C47" s="1">
        <f t="shared" si="2"/>
        <v>3.838111298482294E-2</v>
      </c>
      <c r="D47" s="1">
        <f t="shared" si="3"/>
        <v>0.1334964492450916</v>
      </c>
      <c r="E47" s="1">
        <f t="shared" si="4"/>
        <v>0.14196586947213896</v>
      </c>
      <c r="F47" s="1">
        <f t="shared" si="5"/>
        <v>0.35588074564332983</v>
      </c>
      <c r="G47" s="1">
        <f t="shared" si="6"/>
        <v>0.13469485536323891</v>
      </c>
      <c r="H47" s="1">
        <f t="shared" si="7"/>
        <v>0.22815263776362174</v>
      </c>
      <c r="I47" s="1">
        <f t="shared" si="8"/>
        <v>0.16537757572179254</v>
      </c>
      <c r="J47" s="1">
        <f t="shared" si="9"/>
        <v>0.14692995988892316</v>
      </c>
      <c r="K47" s="1">
        <f t="shared" si="10"/>
        <v>0.99706404061410481</v>
      </c>
      <c r="L47" s="1">
        <f t="shared" si="11"/>
        <v>0.24339634258974202</v>
      </c>
      <c r="M47" s="1">
        <f t="shared" si="12"/>
        <v>0.20084174042210806</v>
      </c>
      <c r="N47" s="1">
        <f t="shared" si="13"/>
        <v>1.0109424868103953</v>
      </c>
    </row>
    <row r="48" spans="3:14">
      <c r="C48" s="1">
        <f t="shared" si="2"/>
        <v>2.4620573355817889E-2</v>
      </c>
      <c r="D48" s="1">
        <f t="shared" si="3"/>
        <v>0.12848361878617892</v>
      </c>
      <c r="E48" s="1">
        <f t="shared" si="4"/>
        <v>0.11627622484555632</v>
      </c>
      <c r="F48" s="1">
        <f t="shared" si="5"/>
        <v>0.14384601372275183</v>
      </c>
      <c r="G48" s="1">
        <f t="shared" si="6"/>
        <v>0.11744624782895133</v>
      </c>
      <c r="H48" s="1">
        <f t="shared" si="7"/>
        <v>0.14354629228771107</v>
      </c>
      <c r="I48" s="1">
        <f t="shared" si="8"/>
        <v>0.13632874771210959</v>
      </c>
      <c r="J48" s="1">
        <f t="shared" si="9"/>
        <v>0.13063869176180193</v>
      </c>
      <c r="K48" s="1">
        <f t="shared" si="10"/>
        <v>0.21976879319836076</v>
      </c>
      <c r="L48" s="1">
        <f t="shared" si="11"/>
        <v>0.10670525213964659</v>
      </c>
      <c r="M48" s="1">
        <f t="shared" si="12"/>
        <v>0.11097357182645294</v>
      </c>
      <c r="N48" s="1">
        <f t="shared" si="13"/>
        <v>0.16837100240995248</v>
      </c>
    </row>
    <row r="49" spans="3:14">
      <c r="C49" s="1">
        <f t="shared" si="2"/>
        <v>1.976391231028669E-2</v>
      </c>
      <c r="D49" s="1">
        <f t="shared" si="3"/>
        <v>4.827833144357583E-2</v>
      </c>
      <c r="E49" s="1">
        <f t="shared" si="4"/>
        <v>2.9665422961649028E-2</v>
      </c>
      <c r="F49" s="1">
        <f t="shared" si="5"/>
        <v>3.7464326917238451E-2</v>
      </c>
      <c r="G49" s="1">
        <f t="shared" si="6"/>
        <v>4.1264897885847765E-2</v>
      </c>
      <c r="H49" s="1">
        <f t="shared" si="7"/>
        <v>5.9682107737027652E-2</v>
      </c>
      <c r="I49" s="1">
        <f t="shared" si="8"/>
        <v>8.1065123693688373E-2</v>
      </c>
      <c r="J49" s="1">
        <f t="shared" si="9"/>
        <v>8.6207960506016659E-2</v>
      </c>
      <c r="K49" s="1">
        <f t="shared" si="10"/>
        <v>6.930087467123372E-2</v>
      </c>
      <c r="L49" s="1">
        <f t="shared" si="11"/>
        <v>6.6806231143402506E-2</v>
      </c>
      <c r="M49" s="1">
        <f t="shared" si="12"/>
        <v>5.4527449402735656E-2</v>
      </c>
      <c r="N49" s="1">
        <f t="shared" si="13"/>
        <v>4.0187585488178218E-2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6DA2-497E-A34D-8C3F-01111CCEA2A9}">
  <dimension ref="A2:P49"/>
  <sheetViews>
    <sheetView topLeftCell="A8" workbookViewId="0">
      <selection activeCell="AL63" sqref="AL63"/>
    </sheetView>
  </sheetViews>
  <sheetFormatPr baseColWidth="10" defaultColWidth="9.1640625" defaultRowHeight="13"/>
  <cols>
    <col min="1" max="1" width="20.6640625" style="1" customWidth="1"/>
    <col min="2" max="2" width="12.6640625" style="1" customWidth="1"/>
    <col min="3" max="16384" width="9.1640625" style="1"/>
  </cols>
  <sheetData>
    <row r="2" spans="1:2">
      <c r="A2" s="1" t="s">
        <v>0</v>
      </c>
      <c r="B2" s="1" t="s">
        <v>1</v>
      </c>
    </row>
    <row r="4" spans="1:2">
      <c r="A4" s="1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34</v>
      </c>
    </row>
    <row r="7" spans="1:2">
      <c r="A7" s="1" t="s">
        <v>8</v>
      </c>
      <c r="B7" s="2">
        <v>45812</v>
      </c>
    </row>
    <row r="8" spans="1:2">
      <c r="A8" s="1" t="s">
        <v>9</v>
      </c>
      <c r="B8" s="3">
        <v>0.61099537037037044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>
        <v>25030902</v>
      </c>
    </row>
    <row r="11" spans="1:2">
      <c r="A11" s="1" t="s">
        <v>13</v>
      </c>
      <c r="B11" s="1" t="s">
        <v>14</v>
      </c>
    </row>
    <row r="13" spans="1:2" ht="14">
      <c r="A13" s="4" t="s">
        <v>15</v>
      </c>
      <c r="B13" s="5"/>
    </row>
    <row r="14" spans="1:2">
      <c r="A14" s="1" t="s">
        <v>16</v>
      </c>
      <c r="B14" s="1" t="s">
        <v>17</v>
      </c>
    </row>
    <row r="15" spans="1:2">
      <c r="A15" s="1" t="s">
        <v>18</v>
      </c>
    </row>
    <row r="16" spans="1:2">
      <c r="A16" s="1" t="s">
        <v>19</v>
      </c>
      <c r="B16" s="1" t="s">
        <v>20</v>
      </c>
    </row>
    <row r="17" spans="1:16">
      <c r="B17" s="1" t="s">
        <v>21</v>
      </c>
    </row>
    <row r="18" spans="1:16">
      <c r="B18" s="1" t="s">
        <v>22</v>
      </c>
    </row>
    <row r="19" spans="1:16">
      <c r="B19" s="1" t="s">
        <v>23</v>
      </c>
    </row>
    <row r="21" spans="1:16" ht="14">
      <c r="A21" s="4" t="s">
        <v>24</v>
      </c>
      <c r="B21" s="5"/>
    </row>
    <row r="22" spans="1:16">
      <c r="A22" s="1" t="s">
        <v>25</v>
      </c>
      <c r="B22" s="1">
        <v>29.9</v>
      </c>
    </row>
    <row r="24" spans="1:16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6" ht="14">
      <c r="B25" s="7" t="s">
        <v>26</v>
      </c>
      <c r="C25" s="8">
        <v>9.7000000000000003E-2</v>
      </c>
      <c r="D25" s="8">
        <v>0.10299999999999999</v>
      </c>
      <c r="E25" s="8">
        <v>0.108</v>
      </c>
      <c r="F25" s="8">
        <v>0.107</v>
      </c>
      <c r="G25" s="8">
        <v>0.108</v>
      </c>
      <c r="H25" s="8">
        <v>9.8000000000000004E-2</v>
      </c>
      <c r="I25" s="8">
        <v>0.112</v>
      </c>
      <c r="J25" s="8">
        <v>0.104</v>
      </c>
      <c r="K25" s="8">
        <v>0.107</v>
      </c>
      <c r="L25" s="8">
        <v>0.104</v>
      </c>
      <c r="M25" s="8">
        <v>9.7000000000000003E-2</v>
      </c>
      <c r="N25" s="8">
        <v>9.7000000000000003E-2</v>
      </c>
      <c r="O25" s="9">
        <v>600</v>
      </c>
      <c r="P25" s="1">
        <f>AVERAGE(C25:N25)</f>
        <v>0.10349999999999999</v>
      </c>
    </row>
    <row r="26" spans="1:16" ht="14">
      <c r="B26" s="7" t="s">
        <v>27</v>
      </c>
      <c r="C26" s="12">
        <v>1.2709999999999999</v>
      </c>
      <c r="D26" s="10">
        <v>1.335</v>
      </c>
      <c r="E26" s="10">
        <v>1.325</v>
      </c>
      <c r="F26" s="12">
        <v>1.3089999999999999</v>
      </c>
      <c r="G26" s="10">
        <v>1.3759999999999999</v>
      </c>
      <c r="H26" s="10">
        <v>1.325</v>
      </c>
      <c r="I26" s="11">
        <v>1.4510000000000001</v>
      </c>
      <c r="J26" s="10">
        <v>1.407</v>
      </c>
      <c r="K26" s="11">
        <v>1.42</v>
      </c>
      <c r="L26" s="11">
        <v>1.4470000000000001</v>
      </c>
      <c r="M26" s="11">
        <v>1.421</v>
      </c>
      <c r="N26" s="10">
        <v>1.395</v>
      </c>
      <c r="O26" s="9">
        <v>600</v>
      </c>
    </row>
    <row r="27" spans="1:16" ht="14">
      <c r="B27" s="7" t="s">
        <v>28</v>
      </c>
      <c r="C27" s="12">
        <v>1.2869999999999999</v>
      </c>
      <c r="D27" s="13">
        <v>1.123</v>
      </c>
      <c r="E27" s="11">
        <v>1.4239999999999999</v>
      </c>
      <c r="F27" s="11">
        <v>1.44</v>
      </c>
      <c r="G27" s="12">
        <v>1.236</v>
      </c>
      <c r="H27" s="11">
        <v>1.4330000000000001</v>
      </c>
      <c r="I27" s="11">
        <v>1.5009999999999999</v>
      </c>
      <c r="J27" s="11">
        <v>1.4550000000000001</v>
      </c>
      <c r="K27" s="11">
        <v>1.464</v>
      </c>
      <c r="L27" s="11">
        <v>1.468</v>
      </c>
      <c r="M27" s="11">
        <v>1.431</v>
      </c>
      <c r="N27" s="11">
        <v>1.4339999999999999</v>
      </c>
      <c r="O27" s="9">
        <v>600</v>
      </c>
    </row>
    <row r="28" spans="1:16" ht="14">
      <c r="B28" s="7" t="s">
        <v>29</v>
      </c>
      <c r="C28" s="14">
        <v>0.36899999999999999</v>
      </c>
      <c r="D28" s="16">
        <v>0.47699999999999998</v>
      </c>
      <c r="E28" s="15">
        <v>0.50600000000000001</v>
      </c>
      <c r="F28" s="11">
        <v>1.4419999999999999</v>
      </c>
      <c r="G28" s="14">
        <v>0.38100000000000001</v>
      </c>
      <c r="H28" s="11">
        <v>1.444</v>
      </c>
      <c r="I28" s="11">
        <v>1.5129999999999999</v>
      </c>
      <c r="J28" s="11">
        <v>1.466</v>
      </c>
      <c r="K28" s="11">
        <v>1.454</v>
      </c>
      <c r="L28" s="11">
        <v>1.419</v>
      </c>
      <c r="M28" s="10">
        <v>1.3680000000000001</v>
      </c>
      <c r="N28" s="10">
        <v>1.379</v>
      </c>
      <c r="O28" s="9">
        <v>600</v>
      </c>
    </row>
    <row r="29" spans="1:16" ht="14">
      <c r="B29" s="7" t="s">
        <v>30</v>
      </c>
      <c r="C29" s="8">
        <v>0.17899999999999999</v>
      </c>
      <c r="D29" s="18">
        <v>0.25700000000000001</v>
      </c>
      <c r="E29" s="18">
        <v>0.253</v>
      </c>
      <c r="F29" s="10">
        <v>1.365</v>
      </c>
      <c r="G29" s="18">
        <v>0.23</v>
      </c>
      <c r="H29" s="11">
        <v>1.431</v>
      </c>
      <c r="I29" s="17">
        <v>0.61599999999999999</v>
      </c>
      <c r="J29" s="16">
        <v>0.44500000000000001</v>
      </c>
      <c r="K29" s="11">
        <v>1.4239999999999999</v>
      </c>
      <c r="L29" s="11">
        <v>1.4219999999999999</v>
      </c>
      <c r="M29" s="10">
        <v>1.373</v>
      </c>
      <c r="N29" s="10">
        <v>1.3879999999999999</v>
      </c>
      <c r="O29" s="9">
        <v>600</v>
      </c>
    </row>
    <row r="30" spans="1:16" ht="14">
      <c r="B30" s="7" t="s">
        <v>31</v>
      </c>
      <c r="C30" s="8">
        <v>0.15</v>
      </c>
      <c r="D30" s="18">
        <v>0.22700000000000001</v>
      </c>
      <c r="E30" s="18">
        <v>0.20499999999999999</v>
      </c>
      <c r="F30" s="16">
        <v>0.49399999999999999</v>
      </c>
      <c r="G30" s="8">
        <v>0.19600000000000001</v>
      </c>
      <c r="H30" s="14">
        <v>0.34200000000000003</v>
      </c>
      <c r="I30" s="18">
        <v>0.26400000000000001</v>
      </c>
      <c r="J30" s="18">
        <v>0.23899999999999999</v>
      </c>
      <c r="K30" s="11">
        <v>1.417</v>
      </c>
      <c r="L30" s="14">
        <v>0.378</v>
      </c>
      <c r="M30" s="14">
        <v>0.34100000000000003</v>
      </c>
      <c r="N30" s="10">
        <v>1.347</v>
      </c>
      <c r="O30" s="9">
        <v>600</v>
      </c>
    </row>
    <row r="31" spans="1:16" ht="14">
      <c r="B31" s="7" t="s">
        <v>32</v>
      </c>
      <c r="C31" s="8">
        <v>0.13300000000000001</v>
      </c>
      <c r="D31" s="8">
        <v>0.186</v>
      </c>
      <c r="E31" s="8">
        <v>0.184</v>
      </c>
      <c r="F31" s="18">
        <v>0.2</v>
      </c>
      <c r="G31" s="8">
        <v>0.184</v>
      </c>
      <c r="H31" s="8">
        <v>0.19700000000000001</v>
      </c>
      <c r="I31" s="18">
        <v>0.22600000000000001</v>
      </c>
      <c r="J31" s="18">
        <v>0.219</v>
      </c>
      <c r="K31" s="14">
        <v>0.33300000000000002</v>
      </c>
      <c r="L31" s="8">
        <v>0.19700000000000001</v>
      </c>
      <c r="M31" s="8">
        <v>0.18099999999999999</v>
      </c>
      <c r="N31" s="14">
        <v>0.32800000000000001</v>
      </c>
      <c r="O31" s="9">
        <v>600</v>
      </c>
    </row>
    <row r="32" spans="1:16" ht="14">
      <c r="B32" s="7" t="s">
        <v>33</v>
      </c>
      <c r="C32" s="8">
        <v>0.122</v>
      </c>
      <c r="D32" s="8">
        <v>0.17399999999999999</v>
      </c>
      <c r="E32" s="8">
        <v>0.157</v>
      </c>
      <c r="F32" s="8">
        <v>0.13600000000000001</v>
      </c>
      <c r="G32" s="8">
        <v>0.151</v>
      </c>
      <c r="H32" s="8">
        <v>0.158</v>
      </c>
      <c r="I32" s="8">
        <v>0.187</v>
      </c>
      <c r="J32" s="8">
        <v>0.17199999999999999</v>
      </c>
      <c r="K32" s="8">
        <v>0.156</v>
      </c>
      <c r="L32" s="8">
        <v>0.14699999999999999</v>
      </c>
      <c r="M32" s="8">
        <v>0.16</v>
      </c>
      <c r="N32" s="8">
        <v>0.158</v>
      </c>
      <c r="O32" s="9">
        <v>600</v>
      </c>
    </row>
    <row r="35" spans="3:14">
      <c r="C35" s="1">
        <f>C26-$P$25</f>
        <v>1.1675</v>
      </c>
      <c r="D35" s="1">
        <f t="shared" ref="D35:N35" si="0">D26-$P$25</f>
        <v>1.2315</v>
      </c>
      <c r="E35" s="1">
        <f t="shared" si="0"/>
        <v>1.2215</v>
      </c>
      <c r="F35" s="1">
        <f t="shared" si="0"/>
        <v>1.2055</v>
      </c>
      <c r="G35" s="1">
        <f t="shared" si="0"/>
        <v>1.2725</v>
      </c>
      <c r="H35" s="1">
        <f t="shared" si="0"/>
        <v>1.2215</v>
      </c>
      <c r="I35" s="1">
        <f t="shared" si="0"/>
        <v>1.3475000000000001</v>
      </c>
      <c r="J35" s="1">
        <f t="shared" si="0"/>
        <v>1.3035000000000001</v>
      </c>
      <c r="K35" s="1">
        <f t="shared" si="0"/>
        <v>1.3165</v>
      </c>
      <c r="L35" s="1">
        <f t="shared" si="0"/>
        <v>1.3435000000000001</v>
      </c>
      <c r="M35" s="1">
        <f t="shared" si="0"/>
        <v>1.3175000000000001</v>
      </c>
      <c r="N35" s="1">
        <f t="shared" si="0"/>
        <v>1.2915000000000001</v>
      </c>
    </row>
    <row r="36" spans="3:14">
      <c r="C36" s="1">
        <f t="shared" ref="C36:N41" si="1">C27-$P$25</f>
        <v>1.1835</v>
      </c>
      <c r="D36" s="1">
        <f t="shared" si="1"/>
        <v>1.0195000000000001</v>
      </c>
      <c r="E36" s="1">
        <f t="shared" si="1"/>
        <v>1.3205</v>
      </c>
      <c r="F36" s="1">
        <f t="shared" si="1"/>
        <v>1.3365</v>
      </c>
      <c r="G36" s="1">
        <f t="shared" si="1"/>
        <v>1.1325000000000001</v>
      </c>
      <c r="H36" s="1">
        <f t="shared" si="1"/>
        <v>1.3295000000000001</v>
      </c>
      <c r="I36" s="1">
        <f t="shared" si="1"/>
        <v>1.3975</v>
      </c>
      <c r="J36" s="1">
        <f t="shared" si="1"/>
        <v>1.3515000000000001</v>
      </c>
      <c r="K36" s="1">
        <f t="shared" si="1"/>
        <v>1.3605</v>
      </c>
      <c r="L36" s="1">
        <f t="shared" si="1"/>
        <v>1.3645</v>
      </c>
      <c r="M36" s="1">
        <f t="shared" si="1"/>
        <v>1.3275000000000001</v>
      </c>
      <c r="N36" s="1">
        <f t="shared" si="1"/>
        <v>1.3305</v>
      </c>
    </row>
    <row r="37" spans="3:14">
      <c r="C37" s="1">
        <f t="shared" si="1"/>
        <v>0.26550000000000001</v>
      </c>
      <c r="D37" s="1">
        <f t="shared" si="1"/>
        <v>0.3735</v>
      </c>
      <c r="E37" s="1">
        <f t="shared" si="1"/>
        <v>0.40250000000000002</v>
      </c>
      <c r="F37" s="1">
        <f t="shared" si="1"/>
        <v>1.3385</v>
      </c>
      <c r="G37" s="1">
        <f t="shared" si="1"/>
        <v>0.27750000000000002</v>
      </c>
      <c r="H37" s="1">
        <f t="shared" si="1"/>
        <v>1.3405</v>
      </c>
      <c r="I37" s="1">
        <f t="shared" si="1"/>
        <v>1.4095</v>
      </c>
      <c r="J37" s="1">
        <f t="shared" si="1"/>
        <v>1.3625</v>
      </c>
      <c r="K37" s="1">
        <f t="shared" si="1"/>
        <v>1.3505</v>
      </c>
      <c r="L37" s="1">
        <f t="shared" si="1"/>
        <v>1.3155000000000001</v>
      </c>
      <c r="M37" s="1">
        <f t="shared" si="1"/>
        <v>1.2645000000000002</v>
      </c>
      <c r="N37" s="1">
        <f t="shared" si="1"/>
        <v>1.2755000000000001</v>
      </c>
    </row>
    <row r="38" spans="3:14">
      <c r="C38" s="1">
        <f t="shared" si="1"/>
        <v>7.5499999999999998E-2</v>
      </c>
      <c r="D38" s="1">
        <f t="shared" si="1"/>
        <v>0.15350000000000003</v>
      </c>
      <c r="E38" s="1">
        <f t="shared" si="1"/>
        <v>0.14950000000000002</v>
      </c>
      <c r="F38" s="1">
        <f t="shared" si="1"/>
        <v>1.2615000000000001</v>
      </c>
      <c r="G38" s="1">
        <f t="shared" si="1"/>
        <v>0.1265</v>
      </c>
      <c r="H38" s="1">
        <f t="shared" si="1"/>
        <v>1.3275000000000001</v>
      </c>
      <c r="I38" s="1">
        <f t="shared" si="1"/>
        <v>0.51249999999999996</v>
      </c>
      <c r="J38" s="1">
        <f t="shared" si="1"/>
        <v>0.34150000000000003</v>
      </c>
      <c r="K38" s="1">
        <f t="shared" si="1"/>
        <v>1.3205</v>
      </c>
      <c r="L38" s="1">
        <f t="shared" si="1"/>
        <v>1.3185</v>
      </c>
      <c r="M38" s="1">
        <f t="shared" si="1"/>
        <v>1.2695000000000001</v>
      </c>
      <c r="N38" s="1">
        <f t="shared" si="1"/>
        <v>1.2845</v>
      </c>
    </row>
    <row r="39" spans="3:14">
      <c r="C39" s="1">
        <f t="shared" si="1"/>
        <v>4.65E-2</v>
      </c>
      <c r="D39" s="1">
        <f t="shared" si="1"/>
        <v>0.12350000000000001</v>
      </c>
      <c r="E39" s="1">
        <f t="shared" si="1"/>
        <v>0.10149999999999999</v>
      </c>
      <c r="F39" s="1">
        <f t="shared" si="1"/>
        <v>0.39050000000000001</v>
      </c>
      <c r="G39" s="1">
        <f t="shared" si="1"/>
        <v>9.2500000000000013E-2</v>
      </c>
      <c r="H39" s="1">
        <f t="shared" si="1"/>
        <v>0.23850000000000005</v>
      </c>
      <c r="I39" s="1">
        <f t="shared" si="1"/>
        <v>0.16050000000000003</v>
      </c>
      <c r="J39" s="1">
        <f t="shared" si="1"/>
        <v>0.13550000000000001</v>
      </c>
      <c r="K39" s="1">
        <f t="shared" si="1"/>
        <v>1.3135000000000001</v>
      </c>
      <c r="L39" s="1">
        <f t="shared" si="1"/>
        <v>0.27450000000000002</v>
      </c>
      <c r="M39" s="1">
        <f t="shared" si="1"/>
        <v>0.23750000000000004</v>
      </c>
      <c r="N39" s="1">
        <f t="shared" si="1"/>
        <v>1.2435</v>
      </c>
    </row>
    <row r="40" spans="3:14">
      <c r="C40" s="1">
        <f t="shared" si="1"/>
        <v>2.9500000000000012E-2</v>
      </c>
      <c r="D40" s="1">
        <f t="shared" si="1"/>
        <v>8.2500000000000004E-2</v>
      </c>
      <c r="E40" s="1">
        <f t="shared" si="1"/>
        <v>8.0500000000000002E-2</v>
      </c>
      <c r="F40" s="1">
        <f t="shared" si="1"/>
        <v>9.6500000000000016E-2</v>
      </c>
      <c r="G40" s="1">
        <f t="shared" si="1"/>
        <v>8.0500000000000002E-2</v>
      </c>
      <c r="H40" s="1">
        <f t="shared" si="1"/>
        <v>9.3500000000000014E-2</v>
      </c>
      <c r="I40" s="1">
        <f t="shared" si="1"/>
        <v>0.12250000000000001</v>
      </c>
      <c r="J40" s="1">
        <f t="shared" si="1"/>
        <v>0.11550000000000001</v>
      </c>
      <c r="K40" s="1">
        <f t="shared" si="1"/>
        <v>0.22950000000000004</v>
      </c>
      <c r="L40" s="1">
        <f t="shared" si="1"/>
        <v>9.3500000000000014E-2</v>
      </c>
      <c r="M40" s="1">
        <f t="shared" si="1"/>
        <v>7.7499999999999999E-2</v>
      </c>
      <c r="N40" s="1">
        <f t="shared" si="1"/>
        <v>0.22450000000000003</v>
      </c>
    </row>
    <row r="41" spans="3:14">
      <c r="C41" s="1">
        <f t="shared" si="1"/>
        <v>1.8500000000000003E-2</v>
      </c>
      <c r="D41" s="1">
        <f t="shared" si="1"/>
        <v>7.0499999999999993E-2</v>
      </c>
      <c r="E41" s="1">
        <f t="shared" si="1"/>
        <v>5.3500000000000006E-2</v>
      </c>
      <c r="F41" s="1">
        <f t="shared" si="1"/>
        <v>3.2500000000000015E-2</v>
      </c>
      <c r="G41" s="1">
        <f t="shared" si="1"/>
        <v>4.7500000000000001E-2</v>
      </c>
      <c r="H41" s="1">
        <f t="shared" si="1"/>
        <v>5.4500000000000007E-2</v>
      </c>
      <c r="I41" s="1">
        <f t="shared" si="1"/>
        <v>8.3500000000000005E-2</v>
      </c>
      <c r="J41" s="1">
        <f t="shared" si="1"/>
        <v>6.8499999999999991E-2</v>
      </c>
      <c r="K41" s="1">
        <f t="shared" si="1"/>
        <v>5.2500000000000005E-2</v>
      </c>
      <c r="L41" s="1">
        <f t="shared" si="1"/>
        <v>4.3499999999999997E-2</v>
      </c>
      <c r="M41" s="1">
        <f t="shared" si="1"/>
        <v>5.6500000000000009E-2</v>
      </c>
      <c r="N41" s="1">
        <f t="shared" si="1"/>
        <v>5.4500000000000007E-2</v>
      </c>
    </row>
    <row r="43" spans="3:14">
      <c r="C43" s="1">
        <f>C35/$C$35</f>
        <v>1</v>
      </c>
      <c r="D43" s="1">
        <f>D35/$D$35</f>
        <v>1</v>
      </c>
      <c r="E43" s="1">
        <f>E35/$E$35</f>
        <v>1</v>
      </c>
      <c r="F43" s="1">
        <f>F35/$F$35</f>
        <v>1</v>
      </c>
      <c r="G43" s="1">
        <f>G35/$G$35</f>
        <v>1</v>
      </c>
      <c r="H43" s="1">
        <f>H35/$H$35</f>
        <v>1</v>
      </c>
      <c r="I43" s="1">
        <f>I35/$I$35</f>
        <v>1</v>
      </c>
      <c r="J43" s="1">
        <f>J35/$J$35</f>
        <v>1</v>
      </c>
      <c r="K43" s="1">
        <f>K35/$K$35</f>
        <v>1</v>
      </c>
      <c r="L43" s="1">
        <f>L35/$L$35</f>
        <v>1</v>
      </c>
      <c r="M43" s="1">
        <f>M35/$M$35</f>
        <v>1</v>
      </c>
      <c r="N43" s="1">
        <f>N35/$N$35</f>
        <v>1</v>
      </c>
    </row>
    <row r="44" spans="3:14">
      <c r="C44" s="1">
        <f t="shared" ref="C44:C49" si="2">C36/$C$35</f>
        <v>1.0137044967880087</v>
      </c>
      <c r="D44" s="1">
        <f t="shared" ref="D44:D49" si="3">D36/$D$35</f>
        <v>0.82785221274868048</v>
      </c>
      <c r="E44" s="1">
        <f t="shared" ref="E44:E49" si="4">E36/$E$35</f>
        <v>1.0810478919361441</v>
      </c>
      <c r="F44" s="1">
        <f t="shared" ref="F44:F49" si="5">F36/$F$35</f>
        <v>1.1086686022397345</v>
      </c>
      <c r="G44" s="1">
        <f t="shared" ref="G44:G49" si="6">G36/$G$35</f>
        <v>0.88998035363457773</v>
      </c>
      <c r="H44" s="1">
        <f t="shared" ref="H44:H49" si="7">H36/$H$35</f>
        <v>1.0884158821121572</v>
      </c>
      <c r="I44" s="1">
        <f t="shared" ref="I44:I49" si="8">I36/$I$35</f>
        <v>1.0371057513914654</v>
      </c>
      <c r="J44" s="1">
        <f t="shared" ref="J44:J49" si="9">J36/$J$35</f>
        <v>1.0368239355581128</v>
      </c>
      <c r="K44" s="1">
        <f t="shared" ref="K44:K49" si="10">K36/$K$35</f>
        <v>1.0334219521458412</v>
      </c>
      <c r="L44" s="1">
        <f t="shared" ref="L44:L49" si="11">L36/$L$35</f>
        <v>1.0156308150353552</v>
      </c>
      <c r="M44" s="1">
        <f t="shared" ref="M44:M49" si="12">M36/$M$35</f>
        <v>1.0075901328273245</v>
      </c>
      <c r="N44" s="1">
        <f t="shared" ref="N44:N49" si="13">N36/$N$35</f>
        <v>1.0301974448315911</v>
      </c>
    </row>
    <row r="45" spans="3:14">
      <c r="C45" s="1">
        <f t="shared" si="2"/>
        <v>0.22740899357601715</v>
      </c>
      <c r="D45" s="1">
        <f t="shared" si="3"/>
        <v>0.30328867235079171</v>
      </c>
      <c r="E45" s="1">
        <f t="shared" si="4"/>
        <v>0.32951289398280803</v>
      </c>
      <c r="F45" s="1">
        <f t="shared" si="5"/>
        <v>1.1103276648693488</v>
      </c>
      <c r="G45" s="1">
        <f t="shared" si="6"/>
        <v>0.21807465618860514</v>
      </c>
      <c r="H45" s="1">
        <f t="shared" si="7"/>
        <v>1.0974212034383954</v>
      </c>
      <c r="I45" s="1">
        <f t="shared" si="8"/>
        <v>1.0460111317254173</v>
      </c>
      <c r="J45" s="1">
        <f t="shared" si="9"/>
        <v>1.0452627541235135</v>
      </c>
      <c r="K45" s="1">
        <f t="shared" si="10"/>
        <v>1.0258260539308774</v>
      </c>
      <c r="L45" s="1">
        <f t="shared" si="11"/>
        <v>0.97915891328619276</v>
      </c>
      <c r="M45" s="1">
        <f t="shared" si="12"/>
        <v>0.95977229601518033</v>
      </c>
      <c r="N45" s="1">
        <f t="shared" si="13"/>
        <v>0.98761130468447544</v>
      </c>
    </row>
    <row r="46" spans="3:14">
      <c r="C46" s="1">
        <f t="shared" si="2"/>
        <v>6.466809421841542E-2</v>
      </c>
      <c r="D46" s="1">
        <f t="shared" si="3"/>
        <v>0.12464474218432807</v>
      </c>
      <c r="E46" s="1">
        <f t="shared" si="4"/>
        <v>0.12239050347932871</v>
      </c>
      <c r="F46" s="1">
        <f t="shared" si="5"/>
        <v>1.0464537536291996</v>
      </c>
      <c r="G46" s="1">
        <f t="shared" si="6"/>
        <v>9.9410609037328096E-2</v>
      </c>
      <c r="H46" s="1">
        <f t="shared" si="7"/>
        <v>1.0867785509619321</v>
      </c>
      <c r="I46" s="1">
        <f t="shared" si="8"/>
        <v>0.3803339517625231</v>
      </c>
      <c r="J46" s="1">
        <f t="shared" si="9"/>
        <v>0.26198695818948986</v>
      </c>
      <c r="K46" s="1">
        <f t="shared" si="10"/>
        <v>1.0030383592859855</v>
      </c>
      <c r="L46" s="1">
        <f t="shared" si="11"/>
        <v>0.98139188686267198</v>
      </c>
      <c r="M46" s="1">
        <f t="shared" si="12"/>
        <v>0.96356736242884244</v>
      </c>
      <c r="N46" s="1">
        <f t="shared" si="13"/>
        <v>0.99457994579945785</v>
      </c>
    </row>
    <row r="47" spans="3:14">
      <c r="C47" s="1">
        <f t="shared" si="2"/>
        <v>3.9828693790149895E-2</v>
      </c>
      <c r="D47" s="1">
        <f t="shared" si="3"/>
        <v>0.10028420625253756</v>
      </c>
      <c r="E47" s="1">
        <f t="shared" si="4"/>
        <v>8.3094555873925488E-2</v>
      </c>
      <c r="F47" s="1">
        <f t="shared" si="5"/>
        <v>0.3239319784321858</v>
      </c>
      <c r="G47" s="1">
        <f t="shared" si="6"/>
        <v>7.2691552062868384E-2</v>
      </c>
      <c r="H47" s="1">
        <f t="shared" si="7"/>
        <v>0.19525173966434714</v>
      </c>
      <c r="I47" s="1">
        <f t="shared" si="8"/>
        <v>0.11910946196660484</v>
      </c>
      <c r="J47" s="1">
        <f t="shared" si="9"/>
        <v>0.10395090141925585</v>
      </c>
      <c r="K47" s="1">
        <f t="shared" si="10"/>
        <v>0.99772123053551087</v>
      </c>
      <c r="L47" s="1">
        <f t="shared" si="11"/>
        <v>0.20431708224786005</v>
      </c>
      <c r="M47" s="1">
        <f t="shared" si="12"/>
        <v>0.18026565464895639</v>
      </c>
      <c r="N47" s="1">
        <f t="shared" si="13"/>
        <v>0.96283391405342622</v>
      </c>
    </row>
    <row r="48" spans="3:14">
      <c r="C48" s="1">
        <f t="shared" si="2"/>
        <v>2.5267665952890803E-2</v>
      </c>
      <c r="D48" s="1">
        <f t="shared" si="3"/>
        <v>6.6991473812423874E-2</v>
      </c>
      <c r="E48" s="1">
        <f t="shared" si="4"/>
        <v>6.5902578796561598E-2</v>
      </c>
      <c r="F48" s="1">
        <f t="shared" si="5"/>
        <v>8.004977187888844E-2</v>
      </c>
      <c r="G48" s="1">
        <f t="shared" si="6"/>
        <v>6.3261296660117886E-2</v>
      </c>
      <c r="H48" s="1">
        <f t="shared" si="7"/>
        <v>7.6545231273024983E-2</v>
      </c>
      <c r="I48" s="1">
        <f t="shared" si="8"/>
        <v>9.0909090909090912E-2</v>
      </c>
      <c r="J48" s="1">
        <f t="shared" si="9"/>
        <v>8.8607594936708861E-2</v>
      </c>
      <c r="K48" s="1">
        <f t="shared" si="10"/>
        <v>0.17432586403342198</v>
      </c>
      <c r="L48" s="1">
        <f t="shared" si="11"/>
        <v>6.9594343133606254E-2</v>
      </c>
      <c r="M48" s="1">
        <f t="shared" si="12"/>
        <v>5.8823529411764698E-2</v>
      </c>
      <c r="N48" s="1">
        <f t="shared" si="13"/>
        <v>0.17382888114595432</v>
      </c>
    </row>
    <row r="49" spans="3:14">
      <c r="C49" s="1">
        <f t="shared" si="2"/>
        <v>1.5845824411134905E-2</v>
      </c>
      <c r="D49" s="1">
        <f t="shared" si="3"/>
        <v>5.7247259439707668E-2</v>
      </c>
      <c r="E49" s="1">
        <f t="shared" si="4"/>
        <v>4.3798608268522311E-2</v>
      </c>
      <c r="F49" s="1">
        <f t="shared" si="5"/>
        <v>2.6959767731231866E-2</v>
      </c>
      <c r="G49" s="1">
        <f t="shared" si="6"/>
        <v>3.732809430255403E-2</v>
      </c>
      <c r="H49" s="1">
        <f t="shared" si="7"/>
        <v>4.4617273843634876E-2</v>
      </c>
      <c r="I49" s="1">
        <f t="shared" si="8"/>
        <v>6.1966604823747676E-2</v>
      </c>
      <c r="J49" s="1">
        <f t="shared" si="9"/>
        <v>5.2550824702723424E-2</v>
      </c>
      <c r="K49" s="1">
        <f t="shared" si="10"/>
        <v>3.987846562856058E-2</v>
      </c>
      <c r="L49" s="1">
        <f t="shared" si="11"/>
        <v>3.2378116858950499E-2</v>
      </c>
      <c r="M49" s="1">
        <f t="shared" si="12"/>
        <v>4.2884250474383302E-2</v>
      </c>
      <c r="N49" s="1">
        <f t="shared" si="13"/>
        <v>4.2198993418505616E-2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F68B-43D8-A445-B251-4273AC469FEB}">
  <dimension ref="A2:AI70"/>
  <sheetViews>
    <sheetView topLeftCell="A36" zoomScaleNormal="100" workbookViewId="0">
      <selection activeCell="O68" sqref="O68"/>
    </sheetView>
  </sheetViews>
  <sheetFormatPr baseColWidth="10" defaultColWidth="9.1640625" defaultRowHeight="13"/>
  <cols>
    <col min="1" max="1" width="20.6640625" style="1" customWidth="1"/>
    <col min="2" max="2" width="12.6640625" style="1" customWidth="1"/>
    <col min="3" max="16" width="9.1640625" style="1"/>
    <col min="17" max="26" width="5.83203125" style="1" customWidth="1"/>
    <col min="27" max="27" width="9.1640625" style="1"/>
    <col min="28" max="35" width="5.83203125" style="1" customWidth="1"/>
    <col min="36" max="16384" width="9.1640625" style="1"/>
  </cols>
  <sheetData>
    <row r="2" spans="1:2">
      <c r="A2" s="1" t="s">
        <v>0</v>
      </c>
      <c r="B2" s="1" t="s">
        <v>1</v>
      </c>
    </row>
    <row r="4" spans="1:2">
      <c r="A4" s="1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35</v>
      </c>
    </row>
    <row r="7" spans="1:2">
      <c r="A7" s="1" t="s">
        <v>8</v>
      </c>
      <c r="B7" s="2">
        <v>45812</v>
      </c>
    </row>
    <row r="8" spans="1:2">
      <c r="A8" s="1" t="s">
        <v>9</v>
      </c>
      <c r="B8" s="3">
        <v>0.61182870370370368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>
        <v>25030902</v>
      </c>
    </row>
    <row r="11" spans="1:2">
      <c r="A11" s="1" t="s">
        <v>13</v>
      </c>
      <c r="B11" s="1" t="s">
        <v>14</v>
      </c>
    </row>
    <row r="13" spans="1:2" ht="14">
      <c r="A13" s="4" t="s">
        <v>15</v>
      </c>
      <c r="B13" s="5"/>
    </row>
    <row r="14" spans="1:2">
      <c r="A14" s="1" t="s">
        <v>16</v>
      </c>
      <c r="B14" s="1" t="s">
        <v>17</v>
      </c>
    </row>
    <row r="15" spans="1:2">
      <c r="A15" s="1" t="s">
        <v>18</v>
      </c>
    </row>
    <row r="16" spans="1:2">
      <c r="A16" s="1" t="s">
        <v>19</v>
      </c>
      <c r="B16" s="1" t="s">
        <v>20</v>
      </c>
    </row>
    <row r="17" spans="1:16">
      <c r="B17" s="1" t="s">
        <v>21</v>
      </c>
    </row>
    <row r="18" spans="1:16">
      <c r="B18" s="1" t="s">
        <v>22</v>
      </c>
    </row>
    <row r="19" spans="1:16">
      <c r="B19" s="1" t="s">
        <v>23</v>
      </c>
    </row>
    <row r="21" spans="1:16" ht="14">
      <c r="A21" s="4" t="s">
        <v>24</v>
      </c>
      <c r="B21" s="5"/>
    </row>
    <row r="22" spans="1:16">
      <c r="A22" s="1" t="s">
        <v>25</v>
      </c>
      <c r="B22" s="1">
        <v>29.8</v>
      </c>
    </row>
    <row r="24" spans="1:16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6" ht="14">
      <c r="B25" s="7" t="s">
        <v>26</v>
      </c>
      <c r="C25" s="8">
        <v>0.1</v>
      </c>
      <c r="D25" s="8">
        <v>9.6000000000000002E-2</v>
      </c>
      <c r="E25" s="8">
        <v>9.6000000000000002E-2</v>
      </c>
      <c r="F25" s="8">
        <v>9.7000000000000003E-2</v>
      </c>
      <c r="G25" s="8">
        <v>9.6000000000000002E-2</v>
      </c>
      <c r="H25" s="8">
        <v>9.7000000000000003E-2</v>
      </c>
      <c r="I25" s="8">
        <v>9.9000000000000005E-2</v>
      </c>
      <c r="J25" s="8">
        <v>9.7000000000000003E-2</v>
      </c>
      <c r="K25" s="8">
        <v>9.9000000000000005E-2</v>
      </c>
      <c r="L25" s="8">
        <v>9.7000000000000003E-2</v>
      </c>
      <c r="M25" s="8">
        <v>9.7000000000000003E-2</v>
      </c>
      <c r="N25" s="8">
        <v>0.109</v>
      </c>
      <c r="O25" s="9">
        <v>600</v>
      </c>
      <c r="P25" s="1">
        <f>AVERAGE(C25:N25)</f>
        <v>9.8333333333333328E-2</v>
      </c>
    </row>
    <row r="26" spans="1:16" ht="14">
      <c r="B26" s="7" t="s">
        <v>27</v>
      </c>
      <c r="C26" s="10">
        <v>1.3240000000000001</v>
      </c>
      <c r="D26" s="11">
        <v>1.484</v>
      </c>
      <c r="E26" s="11">
        <v>1.4550000000000001</v>
      </c>
      <c r="F26" s="11">
        <v>1.405</v>
      </c>
      <c r="G26" s="11">
        <v>1.4350000000000001</v>
      </c>
      <c r="H26" s="11">
        <v>1.419</v>
      </c>
      <c r="I26" s="11">
        <v>1.4830000000000001</v>
      </c>
      <c r="J26" s="10">
        <v>1.387</v>
      </c>
      <c r="K26" s="11">
        <v>1.401</v>
      </c>
      <c r="L26" s="11">
        <v>1.429</v>
      </c>
      <c r="M26" s="11">
        <v>1.4259999999999999</v>
      </c>
      <c r="N26" s="11">
        <v>1.4259999999999999</v>
      </c>
      <c r="O26" s="9">
        <v>600</v>
      </c>
    </row>
    <row r="27" spans="1:16" ht="14">
      <c r="B27" s="7" t="s">
        <v>28</v>
      </c>
      <c r="C27" s="13">
        <v>1.177</v>
      </c>
      <c r="D27" s="13">
        <v>1.147</v>
      </c>
      <c r="E27" s="11">
        <v>1.421</v>
      </c>
      <c r="F27" s="11">
        <v>1.4019999999999999</v>
      </c>
      <c r="G27" s="13">
        <v>1.1499999999999999</v>
      </c>
      <c r="H27" s="11">
        <v>1.4039999999999999</v>
      </c>
      <c r="I27" s="11">
        <v>1.4890000000000001</v>
      </c>
      <c r="J27" s="10">
        <v>1.333</v>
      </c>
      <c r="K27" s="10">
        <v>1.349</v>
      </c>
      <c r="L27" s="10">
        <v>1.387</v>
      </c>
      <c r="M27" s="11">
        <v>1.4039999999999999</v>
      </c>
      <c r="N27" s="10">
        <v>1.3959999999999999</v>
      </c>
      <c r="O27" s="9">
        <v>600</v>
      </c>
    </row>
    <row r="28" spans="1:16" ht="14">
      <c r="B28" s="7" t="s">
        <v>29</v>
      </c>
      <c r="C28" s="14">
        <v>0.39100000000000001</v>
      </c>
      <c r="D28" s="16">
        <v>0.46899999999999997</v>
      </c>
      <c r="E28" s="15">
        <v>0.502</v>
      </c>
      <c r="F28" s="11">
        <v>1.4490000000000001</v>
      </c>
      <c r="G28" s="14">
        <v>0.36899999999999999</v>
      </c>
      <c r="H28" s="11">
        <v>1.4590000000000001</v>
      </c>
      <c r="I28" s="11">
        <v>1.4990000000000001</v>
      </c>
      <c r="J28" s="11">
        <v>1.4339999999999999</v>
      </c>
      <c r="K28" s="11">
        <v>1.4370000000000001</v>
      </c>
      <c r="L28" s="11">
        <v>1.4570000000000001</v>
      </c>
      <c r="M28" s="11">
        <v>1.4219999999999999</v>
      </c>
      <c r="N28" s="11">
        <v>1.4259999999999999</v>
      </c>
      <c r="O28" s="9">
        <v>600</v>
      </c>
    </row>
    <row r="29" spans="1:16" ht="14">
      <c r="B29" s="7" t="s">
        <v>30</v>
      </c>
      <c r="C29" s="18">
        <v>0.215</v>
      </c>
      <c r="D29" s="18">
        <v>0.24</v>
      </c>
      <c r="E29" s="18">
        <v>0.23599999999999999</v>
      </c>
      <c r="F29" s="10">
        <v>1.37</v>
      </c>
      <c r="G29" s="18">
        <v>0.22800000000000001</v>
      </c>
      <c r="H29" s="11">
        <v>1.4359999999999999</v>
      </c>
      <c r="I29" s="17">
        <v>0.621</v>
      </c>
      <c r="J29" s="16">
        <v>0.48799999999999999</v>
      </c>
      <c r="K29" s="11">
        <v>1.4179999999999999</v>
      </c>
      <c r="L29" s="11">
        <v>1.4419999999999999</v>
      </c>
      <c r="M29" s="11">
        <v>1.405</v>
      </c>
      <c r="N29" s="11">
        <v>1.4079999999999999</v>
      </c>
      <c r="O29" s="9">
        <v>600</v>
      </c>
    </row>
    <row r="30" spans="1:16" ht="14">
      <c r="B30" s="7" t="s">
        <v>31</v>
      </c>
      <c r="C30" s="8">
        <v>0.13900000000000001</v>
      </c>
      <c r="D30" s="8">
        <v>0.188</v>
      </c>
      <c r="E30" s="8">
        <v>0.17799999999999999</v>
      </c>
      <c r="F30" s="16">
        <v>0.48499999999999999</v>
      </c>
      <c r="G30" s="8">
        <v>0.184</v>
      </c>
      <c r="H30" s="14">
        <v>0.32900000000000001</v>
      </c>
      <c r="I30" s="18">
        <v>0.23400000000000001</v>
      </c>
      <c r="J30" s="18">
        <v>0.23300000000000001</v>
      </c>
      <c r="K30" s="11">
        <v>1.4059999999999999</v>
      </c>
      <c r="L30" s="14">
        <v>0.39400000000000002</v>
      </c>
      <c r="M30" s="14">
        <v>0.33700000000000002</v>
      </c>
      <c r="N30" s="10">
        <v>1.38</v>
      </c>
      <c r="O30" s="9">
        <v>600</v>
      </c>
    </row>
    <row r="31" spans="1:16" ht="14">
      <c r="B31" s="7" t="s">
        <v>32</v>
      </c>
      <c r="C31" s="8">
        <v>0.13500000000000001</v>
      </c>
      <c r="D31" s="8">
        <v>0.17599999999999999</v>
      </c>
      <c r="E31" s="8">
        <v>0.14699999999999999</v>
      </c>
      <c r="F31" s="8">
        <v>0.183</v>
      </c>
      <c r="G31" s="8">
        <v>0.16700000000000001</v>
      </c>
      <c r="H31" s="8">
        <v>0.193</v>
      </c>
      <c r="I31" s="18">
        <v>0.20499999999999999</v>
      </c>
      <c r="J31" s="8">
        <v>0.18099999999999999</v>
      </c>
      <c r="K31" s="14">
        <v>0.32400000000000001</v>
      </c>
      <c r="L31" s="8">
        <v>0.17100000000000001</v>
      </c>
      <c r="M31" s="8">
        <v>0.17499999999999999</v>
      </c>
      <c r="N31" s="14">
        <v>0.35199999999999998</v>
      </c>
      <c r="O31" s="9">
        <v>600</v>
      </c>
    </row>
    <row r="32" spans="1:16" ht="14">
      <c r="B32" s="7" t="s">
        <v>33</v>
      </c>
      <c r="C32" s="8">
        <v>0.128</v>
      </c>
      <c r="D32" s="8">
        <v>0.17899999999999999</v>
      </c>
      <c r="E32" s="8">
        <v>0.14399999999999999</v>
      </c>
      <c r="F32" s="8">
        <v>0.14699999999999999</v>
      </c>
      <c r="G32" s="8">
        <v>0.14099999999999999</v>
      </c>
      <c r="H32" s="8">
        <v>0.157</v>
      </c>
      <c r="I32" s="8">
        <v>0.185</v>
      </c>
      <c r="J32" s="8">
        <v>0.16700000000000001</v>
      </c>
      <c r="K32" s="8">
        <v>0.159</v>
      </c>
      <c r="L32" s="8">
        <v>0.15</v>
      </c>
      <c r="M32" s="8">
        <v>0.14899999999999999</v>
      </c>
      <c r="N32" s="8">
        <v>0.16</v>
      </c>
      <c r="O32" s="9">
        <v>600</v>
      </c>
    </row>
    <row r="35" spans="3:14">
      <c r="C35" s="1">
        <f>C26-$P$25</f>
        <v>1.2256666666666667</v>
      </c>
      <c r="D35" s="1">
        <f t="shared" ref="D35:N35" si="0">D26-$P$25</f>
        <v>1.3856666666666666</v>
      </c>
      <c r="E35" s="1">
        <f t="shared" si="0"/>
        <v>1.3566666666666667</v>
      </c>
      <c r="F35" s="1">
        <f t="shared" si="0"/>
        <v>1.3066666666666666</v>
      </c>
      <c r="G35" s="1">
        <f t="shared" si="0"/>
        <v>1.3366666666666667</v>
      </c>
      <c r="H35" s="1">
        <f t="shared" si="0"/>
        <v>1.3206666666666667</v>
      </c>
      <c r="I35" s="1">
        <f t="shared" si="0"/>
        <v>1.3846666666666667</v>
      </c>
      <c r="J35" s="1">
        <f t="shared" si="0"/>
        <v>1.2886666666666666</v>
      </c>
      <c r="K35" s="1">
        <f t="shared" si="0"/>
        <v>1.3026666666666666</v>
      </c>
      <c r="L35" s="1">
        <f t="shared" si="0"/>
        <v>1.3306666666666667</v>
      </c>
      <c r="M35" s="1">
        <f t="shared" si="0"/>
        <v>1.3276666666666666</v>
      </c>
      <c r="N35" s="1">
        <f t="shared" si="0"/>
        <v>1.3276666666666666</v>
      </c>
    </row>
    <row r="36" spans="3:14">
      <c r="C36" s="1">
        <f t="shared" ref="C36:N41" si="1">C27-$P$25</f>
        <v>1.0786666666666667</v>
      </c>
      <c r="D36" s="1">
        <f t="shared" si="1"/>
        <v>1.0486666666666666</v>
      </c>
      <c r="E36" s="1">
        <f t="shared" si="1"/>
        <v>1.3226666666666667</v>
      </c>
      <c r="F36" s="1">
        <f t="shared" si="1"/>
        <v>1.3036666666666665</v>
      </c>
      <c r="G36" s="1">
        <f t="shared" si="1"/>
        <v>1.0516666666666665</v>
      </c>
      <c r="H36" s="1">
        <f t="shared" si="1"/>
        <v>1.3056666666666665</v>
      </c>
      <c r="I36" s="1">
        <f t="shared" si="1"/>
        <v>1.3906666666666667</v>
      </c>
      <c r="J36" s="1">
        <f t="shared" si="1"/>
        <v>1.2346666666666666</v>
      </c>
      <c r="K36" s="1">
        <f t="shared" si="1"/>
        <v>1.2506666666666666</v>
      </c>
      <c r="L36" s="1">
        <f t="shared" si="1"/>
        <v>1.2886666666666666</v>
      </c>
      <c r="M36" s="1">
        <f t="shared" si="1"/>
        <v>1.3056666666666665</v>
      </c>
      <c r="N36" s="1">
        <f t="shared" si="1"/>
        <v>1.2976666666666665</v>
      </c>
    </row>
    <row r="37" spans="3:14">
      <c r="C37" s="1">
        <f t="shared" si="1"/>
        <v>0.29266666666666669</v>
      </c>
      <c r="D37" s="1">
        <f t="shared" si="1"/>
        <v>0.37066666666666664</v>
      </c>
      <c r="E37" s="1">
        <f t="shared" si="1"/>
        <v>0.40366666666666667</v>
      </c>
      <c r="F37" s="1">
        <f t="shared" si="1"/>
        <v>1.3506666666666667</v>
      </c>
      <c r="G37" s="1">
        <f t="shared" si="1"/>
        <v>0.27066666666666667</v>
      </c>
      <c r="H37" s="1">
        <f t="shared" si="1"/>
        <v>1.3606666666666667</v>
      </c>
      <c r="I37" s="1">
        <f t="shared" si="1"/>
        <v>1.4006666666666667</v>
      </c>
      <c r="J37" s="1">
        <f t="shared" si="1"/>
        <v>1.3356666666666666</v>
      </c>
      <c r="K37" s="1">
        <f t="shared" si="1"/>
        <v>1.3386666666666667</v>
      </c>
      <c r="L37" s="1">
        <f t="shared" si="1"/>
        <v>1.3586666666666667</v>
      </c>
      <c r="M37" s="1">
        <f t="shared" si="1"/>
        <v>1.3236666666666665</v>
      </c>
      <c r="N37" s="1">
        <f t="shared" si="1"/>
        <v>1.3276666666666666</v>
      </c>
    </row>
    <row r="38" spans="3:14">
      <c r="C38" s="1">
        <f t="shared" si="1"/>
        <v>0.11666666666666667</v>
      </c>
      <c r="D38" s="1">
        <f t="shared" si="1"/>
        <v>0.14166666666666666</v>
      </c>
      <c r="E38" s="1">
        <f t="shared" si="1"/>
        <v>0.13766666666666666</v>
      </c>
      <c r="F38" s="1">
        <f t="shared" si="1"/>
        <v>1.2716666666666667</v>
      </c>
      <c r="G38" s="1">
        <f t="shared" si="1"/>
        <v>0.12966666666666668</v>
      </c>
      <c r="H38" s="1">
        <f t="shared" si="1"/>
        <v>1.3376666666666666</v>
      </c>
      <c r="I38" s="1">
        <f t="shared" si="1"/>
        <v>0.52266666666666661</v>
      </c>
      <c r="J38" s="1">
        <f t="shared" si="1"/>
        <v>0.38966666666666666</v>
      </c>
      <c r="K38" s="1">
        <f t="shared" si="1"/>
        <v>1.3196666666666665</v>
      </c>
      <c r="L38" s="1">
        <f t="shared" si="1"/>
        <v>1.3436666666666666</v>
      </c>
      <c r="M38" s="1">
        <f t="shared" si="1"/>
        <v>1.3066666666666666</v>
      </c>
      <c r="N38" s="1">
        <f t="shared" si="1"/>
        <v>1.3096666666666665</v>
      </c>
    </row>
    <row r="39" spans="3:14">
      <c r="C39" s="1">
        <f t="shared" si="1"/>
        <v>4.0666666666666684E-2</v>
      </c>
      <c r="D39" s="1">
        <f t="shared" si="1"/>
        <v>8.9666666666666672E-2</v>
      </c>
      <c r="E39" s="1">
        <f t="shared" si="1"/>
        <v>7.9666666666666663E-2</v>
      </c>
      <c r="F39" s="1">
        <f t="shared" si="1"/>
        <v>0.38666666666666666</v>
      </c>
      <c r="G39" s="1">
        <f t="shared" si="1"/>
        <v>8.5666666666666669E-2</v>
      </c>
      <c r="H39" s="1">
        <f t="shared" si="1"/>
        <v>0.23066666666666669</v>
      </c>
      <c r="I39" s="1">
        <f t="shared" si="1"/>
        <v>0.13566666666666669</v>
      </c>
      <c r="J39" s="1">
        <f t="shared" si="1"/>
        <v>0.13466666666666668</v>
      </c>
      <c r="K39" s="1">
        <f t="shared" si="1"/>
        <v>1.3076666666666665</v>
      </c>
      <c r="L39" s="1">
        <f t="shared" si="1"/>
        <v>0.29566666666666669</v>
      </c>
      <c r="M39" s="1">
        <f t="shared" si="1"/>
        <v>0.23866666666666669</v>
      </c>
      <c r="N39" s="1">
        <f t="shared" si="1"/>
        <v>1.2816666666666665</v>
      </c>
    </row>
    <row r="40" spans="3:14">
      <c r="C40" s="1">
        <f t="shared" si="1"/>
        <v>3.6666666666666681E-2</v>
      </c>
      <c r="D40" s="1">
        <f t="shared" si="1"/>
        <v>7.7666666666666662E-2</v>
      </c>
      <c r="E40" s="1">
        <f t="shared" si="1"/>
        <v>4.8666666666666664E-2</v>
      </c>
      <c r="F40" s="1">
        <f t="shared" si="1"/>
        <v>8.4666666666666668E-2</v>
      </c>
      <c r="G40" s="1">
        <f t="shared" si="1"/>
        <v>6.8666666666666681E-2</v>
      </c>
      <c r="H40" s="1">
        <f t="shared" si="1"/>
        <v>9.4666666666666677E-2</v>
      </c>
      <c r="I40" s="1">
        <f t="shared" si="1"/>
        <v>0.10666666666666666</v>
      </c>
      <c r="J40" s="1">
        <f t="shared" si="1"/>
        <v>8.2666666666666666E-2</v>
      </c>
      <c r="K40" s="1">
        <f t="shared" si="1"/>
        <v>0.22566666666666668</v>
      </c>
      <c r="L40" s="1">
        <f t="shared" si="1"/>
        <v>7.2666666666666685E-2</v>
      </c>
      <c r="M40" s="1">
        <f t="shared" si="1"/>
        <v>7.6666666666666661E-2</v>
      </c>
      <c r="N40" s="1">
        <f t="shared" si="1"/>
        <v>0.25366666666666665</v>
      </c>
    </row>
    <row r="41" spans="3:14">
      <c r="C41" s="1">
        <f t="shared" si="1"/>
        <v>2.9666666666666675E-2</v>
      </c>
      <c r="D41" s="1">
        <f t="shared" si="1"/>
        <v>8.0666666666666664E-2</v>
      </c>
      <c r="E41" s="1">
        <f t="shared" si="1"/>
        <v>4.5666666666666661E-2</v>
      </c>
      <c r="F41" s="1">
        <f t="shared" si="1"/>
        <v>4.8666666666666664E-2</v>
      </c>
      <c r="G41" s="1">
        <f t="shared" si="1"/>
        <v>4.2666666666666658E-2</v>
      </c>
      <c r="H41" s="1">
        <f t="shared" si="1"/>
        <v>5.8666666666666673E-2</v>
      </c>
      <c r="I41" s="1">
        <f t="shared" si="1"/>
        <v>8.666666666666667E-2</v>
      </c>
      <c r="J41" s="1">
        <f t="shared" si="1"/>
        <v>6.8666666666666681E-2</v>
      </c>
      <c r="K41" s="1">
        <f t="shared" si="1"/>
        <v>6.0666666666666674E-2</v>
      </c>
      <c r="L41" s="1">
        <f t="shared" si="1"/>
        <v>5.1666666666666666E-2</v>
      </c>
      <c r="M41" s="1">
        <f t="shared" si="1"/>
        <v>5.0666666666666665E-2</v>
      </c>
      <c r="N41" s="1">
        <f t="shared" si="1"/>
        <v>6.1666666666666675E-2</v>
      </c>
    </row>
    <row r="43" spans="3:14">
      <c r="C43" s="1">
        <f>C35/$C$35</f>
        <v>1</v>
      </c>
      <c r="D43" s="1">
        <f>D35/$D$35</f>
        <v>1</v>
      </c>
      <c r="E43" s="1">
        <f>E35/$E$35</f>
        <v>1</v>
      </c>
      <c r="F43" s="1">
        <f>F35/$F$35</f>
        <v>1</v>
      </c>
      <c r="G43" s="1">
        <f>G35/$G$35</f>
        <v>1</v>
      </c>
      <c r="H43" s="1">
        <f>H35/$H$35</f>
        <v>1</v>
      </c>
      <c r="I43" s="1">
        <f>I35/$I$35</f>
        <v>1</v>
      </c>
      <c r="J43" s="1">
        <f>J35/$J$35</f>
        <v>1</v>
      </c>
      <c r="K43" s="1">
        <f>K35/$K$35</f>
        <v>1</v>
      </c>
      <c r="L43" s="1">
        <f>L35/$L$35</f>
        <v>1</v>
      </c>
      <c r="M43" s="1">
        <f>M35/$M$35</f>
        <v>1</v>
      </c>
      <c r="N43" s="1">
        <f>N35/$N$35</f>
        <v>1</v>
      </c>
    </row>
    <row r="44" spans="3:14">
      <c r="C44" s="1">
        <f t="shared" ref="C44:C49" si="2">C36/$C$35</f>
        <v>0.88006527060103346</v>
      </c>
      <c r="D44" s="1">
        <f t="shared" ref="D44:D49" si="3">D36/$D$35</f>
        <v>0.75679576617753186</v>
      </c>
      <c r="E44" s="1">
        <f t="shared" ref="E44:E49" si="4">E36/$E$35</f>
        <v>0.97493857493857494</v>
      </c>
      <c r="F44" s="1">
        <f t="shared" ref="F44:F49" si="5">F36/$F$35</f>
        <v>0.99770408163265301</v>
      </c>
      <c r="G44" s="1">
        <f t="shared" ref="G44:G49" si="6">G36/$G$35</f>
        <v>0.78678304239401486</v>
      </c>
      <c r="H44" s="1">
        <f t="shared" ref="H44:H49" si="7">H36/$H$35</f>
        <v>0.98864209994952035</v>
      </c>
      <c r="I44" s="1">
        <f t="shared" ref="I44:I49" si="8">I36/$I$35</f>
        <v>1.0043331728454501</v>
      </c>
      <c r="J44" s="1">
        <f t="shared" ref="J44:J49" si="9">J36/$J$35</f>
        <v>0.95809622348680801</v>
      </c>
      <c r="K44" s="1">
        <f t="shared" ref="K44:K49" si="10">K36/$K$35</f>
        <v>0.96008188331627431</v>
      </c>
      <c r="L44" s="1">
        <f t="shared" ref="L44:L49" si="11">L36/$L$35</f>
        <v>0.96843687374749499</v>
      </c>
      <c r="M44" s="1">
        <f t="shared" ref="M44:M49" si="12">M36/$M$35</f>
        <v>0.98342957569671097</v>
      </c>
      <c r="N44" s="1">
        <f t="shared" ref="N44:N49" si="13">N36/$N$35</f>
        <v>0.97740396685915132</v>
      </c>
    </row>
    <row r="45" spans="3:14">
      <c r="C45" s="1">
        <f t="shared" si="2"/>
        <v>0.23878161544737558</v>
      </c>
      <c r="D45" s="1">
        <f t="shared" si="3"/>
        <v>0.26750060139523696</v>
      </c>
      <c r="E45" s="1">
        <f t="shared" si="4"/>
        <v>0.29754299754299757</v>
      </c>
      <c r="F45" s="1">
        <f t="shared" si="5"/>
        <v>1.0336734693877552</v>
      </c>
      <c r="G45" s="1">
        <f t="shared" si="6"/>
        <v>0.20249376558603491</v>
      </c>
      <c r="H45" s="1">
        <f t="shared" si="7"/>
        <v>1.0302877334679454</v>
      </c>
      <c r="I45" s="1">
        <f t="shared" si="8"/>
        <v>1.0115551275878671</v>
      </c>
      <c r="J45" s="1">
        <f t="shared" si="9"/>
        <v>1.0364718054837041</v>
      </c>
      <c r="K45" s="1">
        <f t="shared" si="10"/>
        <v>1.0276356192425793</v>
      </c>
      <c r="L45" s="1">
        <f t="shared" si="11"/>
        <v>1.0210420841683367</v>
      </c>
      <c r="M45" s="1">
        <f t="shared" si="12"/>
        <v>0.99698719558122018</v>
      </c>
      <c r="N45" s="1">
        <f t="shared" si="13"/>
        <v>1</v>
      </c>
    </row>
    <row r="46" spans="3:14">
      <c r="C46" s="1">
        <f t="shared" si="2"/>
        <v>9.5186293173782979E-2</v>
      </c>
      <c r="D46" s="1">
        <f t="shared" si="3"/>
        <v>0.10223719028145298</v>
      </c>
      <c r="E46" s="1">
        <f t="shared" si="4"/>
        <v>0.10147420147420147</v>
      </c>
      <c r="F46" s="1">
        <f t="shared" si="5"/>
        <v>0.97321428571428581</v>
      </c>
      <c r="G46" s="1">
        <f t="shared" si="6"/>
        <v>9.7007481296758111E-2</v>
      </c>
      <c r="H46" s="1">
        <f t="shared" si="7"/>
        <v>1.0128722867238769</v>
      </c>
      <c r="I46" s="1">
        <f t="shared" si="8"/>
        <v>0.37746750120365907</v>
      </c>
      <c r="J46" s="1">
        <f t="shared" si="9"/>
        <v>0.30237972064148994</v>
      </c>
      <c r="K46" s="1">
        <f t="shared" si="10"/>
        <v>1.013050153531218</v>
      </c>
      <c r="L46" s="1">
        <f t="shared" si="11"/>
        <v>1.0097695390781563</v>
      </c>
      <c r="M46" s="1">
        <f t="shared" si="12"/>
        <v>0.98418277680140609</v>
      </c>
      <c r="N46" s="1">
        <f t="shared" si="13"/>
        <v>0.98644238011549079</v>
      </c>
    </row>
    <row r="47" spans="3:14">
      <c r="C47" s="1">
        <f t="shared" si="2"/>
        <v>3.3179222192004365E-2</v>
      </c>
      <c r="D47" s="1">
        <f t="shared" si="3"/>
        <v>6.4710127495790234E-2</v>
      </c>
      <c r="E47" s="1">
        <f t="shared" si="4"/>
        <v>5.8722358722358717E-2</v>
      </c>
      <c r="F47" s="1">
        <f t="shared" si="5"/>
        <v>0.29591836734693877</v>
      </c>
      <c r="G47" s="1">
        <f t="shared" si="6"/>
        <v>6.4089775561097254E-2</v>
      </c>
      <c r="H47" s="1">
        <f t="shared" si="7"/>
        <v>0.17465926299848564</v>
      </c>
      <c r="I47" s="1">
        <f t="shared" si="8"/>
        <v>9.7977852672123264E-2</v>
      </c>
      <c r="J47" s="1">
        <f t="shared" si="9"/>
        <v>0.10450077599586137</v>
      </c>
      <c r="K47" s="1">
        <f t="shared" si="10"/>
        <v>1.0038382804503581</v>
      </c>
      <c r="L47" s="1">
        <f t="shared" si="11"/>
        <v>0.22219438877755512</v>
      </c>
      <c r="M47" s="1">
        <f t="shared" si="12"/>
        <v>0.17976399698719561</v>
      </c>
      <c r="N47" s="1">
        <f t="shared" si="13"/>
        <v>0.96535274918403213</v>
      </c>
    </row>
    <row r="48" spans="3:14">
      <c r="C48" s="1">
        <f t="shared" si="2"/>
        <v>2.9915692140331802E-2</v>
      </c>
      <c r="D48" s="1">
        <f t="shared" si="3"/>
        <v>5.6050036083714214E-2</v>
      </c>
      <c r="E48" s="1">
        <f t="shared" si="4"/>
        <v>3.5872235872235869E-2</v>
      </c>
      <c r="F48" s="1">
        <f t="shared" si="5"/>
        <v>6.4795918367346939E-2</v>
      </c>
      <c r="G48" s="1">
        <f t="shared" si="6"/>
        <v>5.1371571072319211E-2</v>
      </c>
      <c r="H48" s="1">
        <f t="shared" si="7"/>
        <v>7.1680969207470982E-2</v>
      </c>
      <c r="I48" s="1">
        <f t="shared" si="8"/>
        <v>7.7034183919114096E-2</v>
      </c>
      <c r="J48" s="1">
        <f t="shared" si="9"/>
        <v>6.4148991205380243E-2</v>
      </c>
      <c r="K48" s="1">
        <f t="shared" si="10"/>
        <v>0.17323439099283522</v>
      </c>
      <c r="L48" s="1">
        <f t="shared" si="11"/>
        <v>5.460921843687376E-2</v>
      </c>
      <c r="M48" s="1">
        <f t="shared" si="12"/>
        <v>5.7745418026613107E-2</v>
      </c>
      <c r="N48" s="1">
        <f t="shared" si="13"/>
        <v>0.1910620135576199</v>
      </c>
    </row>
    <row r="49" spans="2:35">
      <c r="C49" s="1">
        <f t="shared" si="2"/>
        <v>2.4204514549904819E-2</v>
      </c>
      <c r="D49" s="1">
        <f t="shared" si="3"/>
        <v>5.8215058936733219E-2</v>
      </c>
      <c r="E49" s="1">
        <f t="shared" si="4"/>
        <v>3.3660933660933659E-2</v>
      </c>
      <c r="F49" s="1">
        <f t="shared" si="5"/>
        <v>3.7244897959183669E-2</v>
      </c>
      <c r="G49" s="1">
        <f t="shared" si="6"/>
        <v>3.1920199501246874E-2</v>
      </c>
      <c r="H49" s="1">
        <f t="shared" si="7"/>
        <v>4.4422009086320047E-2</v>
      </c>
      <c r="I49" s="1">
        <f t="shared" si="8"/>
        <v>6.259027443428021E-2</v>
      </c>
      <c r="J49" s="1">
        <f t="shared" si="9"/>
        <v>5.3285049146404563E-2</v>
      </c>
      <c r="K49" s="1">
        <f t="shared" si="10"/>
        <v>4.657113613101331E-2</v>
      </c>
      <c r="L49" s="1">
        <f t="shared" si="11"/>
        <v>3.882765531062124E-2</v>
      </c>
      <c r="M49" s="1">
        <f t="shared" si="12"/>
        <v>3.8162189304544313E-2</v>
      </c>
      <c r="N49" s="1">
        <f t="shared" si="13"/>
        <v>4.6447401456188815E-2</v>
      </c>
    </row>
    <row r="52" spans="2:35">
      <c r="C52" s="1">
        <f>AVERAGE(C43,guide1Rep2!C43,guide1Rep1!C43)</f>
        <v>1</v>
      </c>
      <c r="D52" s="1">
        <f>AVERAGE(D43,guide1Rep2!D43,guide1Rep1!D43)</f>
        <v>1</v>
      </c>
      <c r="E52" s="1">
        <f>AVERAGE(E43,guide1Rep2!E43,guide1Rep1!E43)</f>
        <v>1</v>
      </c>
      <c r="F52" s="1">
        <f>AVERAGE(F43,guide1Rep2!F43,guide1Rep1!F43)</f>
        <v>1</v>
      </c>
      <c r="G52" s="1">
        <f>AVERAGE(G43,guide1Rep2!G43,guide1Rep1!G43)</f>
        <v>1</v>
      </c>
      <c r="H52" s="1">
        <f>AVERAGE(H43,guide1Rep2!H43,guide1Rep1!H43)</f>
        <v>1</v>
      </c>
      <c r="I52" s="1">
        <f>AVERAGE(I43,guide1Rep2!I43,guide1Rep1!I43)</f>
        <v>1</v>
      </c>
      <c r="J52" s="1">
        <f>AVERAGE(J43,guide1Rep2!J43,guide1Rep1!J43)</f>
        <v>1</v>
      </c>
      <c r="K52" s="1">
        <f>AVERAGE(K43,guide1Rep2!K43,guide1Rep1!K43)</f>
        <v>1</v>
      </c>
      <c r="L52" s="1">
        <f>AVERAGE(L43,guide1Rep2!L43,guide1Rep1!L43)</f>
        <v>1</v>
      </c>
      <c r="M52" s="1">
        <f>AVERAGE(M43,guide1Rep2!M43,guide1Rep1!M43)</f>
        <v>1</v>
      </c>
      <c r="N52" s="1">
        <f>AVERAGE(N43,guide1Rep2!N43,guide1Rep1!N43)</f>
        <v>1</v>
      </c>
    </row>
    <row r="53" spans="2:35">
      <c r="C53" s="1">
        <f>AVERAGE(C44,guide1Rep2!C44,guide1Rep1!C44)</f>
        <v>0.94786142330618439</v>
      </c>
      <c r="D53" s="1">
        <f>AVERAGE(D44,guide1Rep2!D44,guide1Rep1!D44)</f>
        <v>0.7796730954798301</v>
      </c>
      <c r="E53" s="1">
        <f>AVERAGE(E44,guide1Rep2!E44,guide1Rep1!E44)</f>
        <v>1.0186621556249065</v>
      </c>
      <c r="F53" s="1">
        <f>AVERAGE(F44,guide1Rep2!F44,guide1Rep1!F44)</f>
        <v>1.0420153365048341</v>
      </c>
      <c r="G53" s="1">
        <f>AVERAGE(G44,guide1Rep2!G44,guide1Rep1!G44)</f>
        <v>0.8448207946235734</v>
      </c>
      <c r="H53" s="1">
        <f>AVERAGE(H44,guide1Rep2!H44,guide1Rep1!H44)</f>
        <v>1.0430030822758625</v>
      </c>
      <c r="I53" s="1">
        <f>AVERAGE(I44,guide1Rep2!I44,guide1Rep1!I44)</f>
        <v>1.015466160079523</v>
      </c>
      <c r="J53" s="1">
        <f>AVERAGE(J44,guide1Rep2!J44,guide1Rep1!J44)</f>
        <v>1.0094144024955867</v>
      </c>
      <c r="K53" s="1">
        <f>AVERAGE(K44,guide1Rep2!K44,guide1Rep1!K44)</f>
        <v>1.0076211431070223</v>
      </c>
      <c r="L53" s="1">
        <f>AVERAGE(L44,guide1Rep2!L44,guide1Rep1!L44)</f>
        <v>0.99887616389635847</v>
      </c>
      <c r="M53" s="1">
        <f>AVERAGE(M44,guide1Rep2!M44,guide1Rep1!M44)</f>
        <v>1.0056715444414772</v>
      </c>
      <c r="N53" s="1">
        <f>AVERAGE(N44,guide1Rep2!N44,guide1Rep1!N44)</f>
        <v>1.0116525429055769</v>
      </c>
    </row>
    <row r="54" spans="2:35">
      <c r="C54" s="1">
        <f>AVERAGE(C45,guide1Rep2!C45,guide1Rep1!C45)</f>
        <v>0.22215347450864073</v>
      </c>
      <c r="D54" s="1">
        <f>AVERAGE(D45,guide1Rep2!D45,guide1Rep1!D45)</f>
        <v>0.29014174892407557</v>
      </c>
      <c r="E54" s="1">
        <f>AVERAGE(E45,guide1Rep2!E45,guide1Rep1!E45)</f>
        <v>0.311879152049165</v>
      </c>
      <c r="F54" s="1">
        <f>AVERAGE(F45,guide1Rep2!F45,guide1Rep1!F45)</f>
        <v>1.0523722282283936</v>
      </c>
      <c r="G54" s="1">
        <f>AVERAGE(G45,guide1Rep2!G45,guide1Rep1!G45)</f>
        <v>0.21527282223096292</v>
      </c>
      <c r="H54" s="1">
        <f>AVERAGE(H45,guide1Rep2!H45,guide1Rep1!H45)</f>
        <v>1.0569180901898412</v>
      </c>
      <c r="I54" s="1">
        <f>AVERAGE(I45,guide1Rep2!I45,guide1Rep1!I45)</f>
        <v>1.0250929864397296</v>
      </c>
      <c r="J54" s="1">
        <f>AVERAGE(J45,guide1Rep2!J45,guide1Rep1!J45)</f>
        <v>1.0405740725791413</v>
      </c>
      <c r="K54" s="1">
        <f>AVERAGE(K45,guide1Rep2!K45,guide1Rep1!K45)</f>
        <v>1.0273624257286449</v>
      </c>
      <c r="L54" s="1">
        <f>AVERAGE(L45,guide1Rep2!L45,guide1Rep1!L45)</f>
        <v>1.0027761919352054</v>
      </c>
      <c r="M54" s="1">
        <f>AVERAGE(M45,guide1Rep2!M45,guide1Rep1!M45)</f>
        <v>0.99400390141988082</v>
      </c>
      <c r="N54" s="1">
        <f>AVERAGE(N45,guide1Rep2!N45,guide1Rep1!N45)</f>
        <v>1.006552386304973</v>
      </c>
    </row>
    <row r="55" spans="2:35">
      <c r="C55" s="1">
        <f>AVERAGE(C46,guide1Rep2!C46,guide1Rep1!C46)</f>
        <v>7.9299410749619825E-2</v>
      </c>
      <c r="D55" s="1">
        <f>AVERAGE(D46,guide1Rep2!D46,guide1Rep1!D46)</f>
        <v>0.1253776639081994</v>
      </c>
      <c r="E55" s="1">
        <f>AVERAGE(E46,guide1Rep2!E46,guide1Rep1!E46)</f>
        <v>0.13221938265918945</v>
      </c>
      <c r="F55" s="1">
        <f>AVERAGE(F46,guide1Rep2!F46,guide1Rep1!F46)</f>
        <v>0.9999982379004565</v>
      </c>
      <c r="G55" s="1">
        <f>AVERAGE(G46,guide1Rep2!G46,guide1Rep1!G46)</f>
        <v>0.11659964573093444</v>
      </c>
      <c r="H55" s="1">
        <f>AVERAGE(H46,guide1Rep2!H46,guide1Rep1!H46)</f>
        <v>1.0408859421226184</v>
      </c>
      <c r="I55" s="1">
        <f>AVERAGE(I46,guide1Rep2!I46,guide1Rep1!I46)</f>
        <v>0.38188351358737727</v>
      </c>
      <c r="J55" s="1">
        <f>AVERAGE(J46,guide1Rep2!J46,guide1Rep1!J46)</f>
        <v>0.28646635874639576</v>
      </c>
      <c r="K55" s="1">
        <f>AVERAGE(K46,guide1Rep2!K46,guide1Rep1!K46)</f>
        <v>1.0053628376057346</v>
      </c>
      <c r="L55" s="1">
        <f>AVERAGE(L46,guide1Rep2!L46,guide1Rep1!L46)</f>
        <v>0.99779267940613259</v>
      </c>
      <c r="M55" s="1">
        <f>AVERAGE(M46,guide1Rep2!M46,guide1Rep1!M46)</f>
        <v>0.98877264755303429</v>
      </c>
      <c r="N55" s="1">
        <f>AVERAGE(N46,guide1Rep2!N46,guide1Rep1!N46)</f>
        <v>1.0022717768464842</v>
      </c>
    </row>
    <row r="56" spans="2:35">
      <c r="C56" s="1">
        <f>AVERAGE(C47,guide1Rep2!C47,guide1Rep1!C47)</f>
        <v>3.7129676322325729E-2</v>
      </c>
      <c r="D56" s="1">
        <f>AVERAGE(D47,guide1Rep2!D47,guide1Rep1!D47)</f>
        <v>9.9496927664473114E-2</v>
      </c>
      <c r="E56" s="1">
        <f>AVERAGE(E47,guide1Rep2!E47,guide1Rep1!E47)</f>
        <v>9.459426135614106E-2</v>
      </c>
      <c r="F56" s="1">
        <f>AVERAGE(F47,guide1Rep2!F47,guide1Rep1!F47)</f>
        <v>0.32524369714081813</v>
      </c>
      <c r="G56" s="1">
        <f>AVERAGE(G47,guide1Rep2!G47,guide1Rep1!G47)</f>
        <v>9.0492060995734855E-2</v>
      </c>
      <c r="H56" s="1">
        <f>AVERAGE(H47,guide1Rep2!H47,guide1Rep1!H47)</f>
        <v>0.19935454680881817</v>
      </c>
      <c r="I56" s="1">
        <f>AVERAGE(I47,guide1Rep2!I47,guide1Rep1!I47)</f>
        <v>0.12748829678684023</v>
      </c>
      <c r="J56" s="1">
        <f>AVERAGE(J47,guide1Rep2!J47,guide1Rep1!J47)</f>
        <v>0.11846054576801346</v>
      </c>
      <c r="K56" s="1">
        <f>AVERAGE(K47,guide1Rep2!K47,guide1Rep1!K47)</f>
        <v>0.99954118386665802</v>
      </c>
      <c r="L56" s="1">
        <f>AVERAGE(L47,guide1Rep2!L47,guide1Rep1!L47)</f>
        <v>0.22330260453838577</v>
      </c>
      <c r="M56" s="1">
        <f>AVERAGE(M47,guide1Rep2!M47,guide1Rep1!M47)</f>
        <v>0.18695713068608666</v>
      </c>
      <c r="N56" s="1">
        <f>AVERAGE(N47,guide1Rep2!N47,guide1Rep1!N47)</f>
        <v>0.97970971668261786</v>
      </c>
    </row>
    <row r="57" spans="2:35">
      <c r="C57" s="1">
        <f>AVERAGE(C48,guide1Rep2!C48,guide1Rep1!C48)</f>
        <v>2.6601310483013497E-2</v>
      </c>
      <c r="D57" s="1">
        <f>AVERAGE(D48,guide1Rep2!D48,guide1Rep1!D48)</f>
        <v>8.3841709560772346E-2</v>
      </c>
      <c r="E57" s="1">
        <f>AVERAGE(E48,guide1Rep2!E48,guide1Rep1!E48)</f>
        <v>7.2683679838117923E-2</v>
      </c>
      <c r="F57" s="1">
        <f>AVERAGE(F48,guide1Rep2!F48,guide1Rep1!F48)</f>
        <v>9.6230567989662411E-2</v>
      </c>
      <c r="G57" s="1">
        <f>AVERAGE(G48,guide1Rep2!G48,guide1Rep1!G48)</f>
        <v>7.7359705187129479E-2</v>
      </c>
      <c r="H57" s="1">
        <f>AVERAGE(H48,guide1Rep2!H48,guide1Rep1!H48)</f>
        <v>9.7257497589402345E-2</v>
      </c>
      <c r="I57" s="1">
        <f>AVERAGE(I48,guide1Rep2!I48,guide1Rep1!I48)</f>
        <v>0.10142400751343821</v>
      </c>
      <c r="J57" s="1">
        <f>AVERAGE(J48,guide1Rep2!J48,guide1Rep1!J48)</f>
        <v>9.4465092634630335E-2</v>
      </c>
      <c r="K57" s="1">
        <f>AVERAGE(K48,guide1Rep2!K48,guide1Rep1!K48)</f>
        <v>0.1891096827415393</v>
      </c>
      <c r="L57" s="1">
        <f>AVERAGE(L48,guide1Rep2!L48,guide1Rep1!L48)</f>
        <v>7.6969604570042205E-2</v>
      </c>
      <c r="M57" s="1">
        <f>AVERAGE(M48,guide1Rep2!M48,guide1Rep1!M48)</f>
        <v>7.5847506421610256E-2</v>
      </c>
      <c r="N57" s="1">
        <f>AVERAGE(N48,guide1Rep2!N48,guide1Rep1!N48)</f>
        <v>0.17775396570450888</v>
      </c>
    </row>
    <row r="58" spans="2:35">
      <c r="C58" s="1">
        <f>AVERAGE(C49,guide1Rep2!C49,guide1Rep1!C49)</f>
        <v>1.9938083757108805E-2</v>
      </c>
      <c r="D58" s="1">
        <f>AVERAGE(D49,guide1Rep2!D49,guide1Rep1!D49)</f>
        <v>5.4580216606672234E-2</v>
      </c>
      <c r="E58" s="1">
        <f>AVERAGE(E49,guide1Rep2!E49,guide1Rep1!E49)</f>
        <v>3.5708321630368335E-2</v>
      </c>
      <c r="F58" s="1">
        <f>AVERAGE(F49,guide1Rep2!F49,guide1Rep1!F49)</f>
        <v>3.388966420255133E-2</v>
      </c>
      <c r="G58" s="1">
        <f>AVERAGE(G49,guide1Rep2!G49,guide1Rep1!G49)</f>
        <v>3.6837730563216223E-2</v>
      </c>
      <c r="H58" s="1">
        <f>AVERAGE(H49,guide1Rep2!H49,guide1Rep1!H49)</f>
        <v>4.9573796888994187E-2</v>
      </c>
      <c r="I58" s="1">
        <f>AVERAGE(I49,guide1Rep2!I49,guide1Rep1!I49)</f>
        <v>6.8540667650572082E-2</v>
      </c>
      <c r="J58" s="1">
        <f>AVERAGE(J49,guide1Rep2!J49,guide1Rep1!J49)</f>
        <v>6.4014611451714887E-2</v>
      </c>
      <c r="K58" s="1">
        <f>AVERAGE(K49,guide1Rep2!K49,guide1Rep1!K49)</f>
        <v>5.1916825476935873E-2</v>
      </c>
      <c r="L58" s="1">
        <f>AVERAGE(L49,guide1Rep2!L49,guide1Rep1!L49)</f>
        <v>4.6004001104324753E-2</v>
      </c>
      <c r="M58" s="1">
        <f>AVERAGE(M49,guide1Rep2!M49,guide1Rep1!M49)</f>
        <v>4.5191296393887755E-2</v>
      </c>
      <c r="N58" s="1">
        <f>AVERAGE(N49,guide1Rep2!N49,guide1Rep1!N49)</f>
        <v>4.2944660120957545E-2</v>
      </c>
    </row>
    <row r="60" spans="2:35">
      <c r="B60" s="1" t="s">
        <v>51</v>
      </c>
      <c r="C60" s="1" t="s">
        <v>40</v>
      </c>
      <c r="D60" s="1" t="s">
        <v>41</v>
      </c>
      <c r="E60" s="1" t="s">
        <v>42</v>
      </c>
      <c r="F60" s="1" t="s">
        <v>36</v>
      </c>
      <c r="G60" s="1" t="s">
        <v>43</v>
      </c>
      <c r="H60" s="1" t="s">
        <v>44</v>
      </c>
      <c r="I60" s="1" t="s">
        <v>45</v>
      </c>
      <c r="J60" s="1" t="s">
        <v>46</v>
      </c>
      <c r="K60" s="1" t="s">
        <v>47</v>
      </c>
      <c r="L60" s="1" t="s">
        <v>48</v>
      </c>
      <c r="M60" s="1" t="s">
        <v>49</v>
      </c>
      <c r="N60" s="1" t="s">
        <v>50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</row>
    <row r="61" spans="2:35" ht="20" customHeight="1">
      <c r="B61" s="1">
        <v>0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3"/>
      <c r="AB61" s="23"/>
      <c r="AC61" s="24"/>
      <c r="AD61" s="24"/>
      <c r="AE61" s="24"/>
      <c r="AF61" s="24"/>
      <c r="AG61" s="24"/>
      <c r="AH61" s="24"/>
      <c r="AI61" s="24"/>
    </row>
    <row r="62" spans="2:35" ht="20" customHeight="1">
      <c r="B62" s="1">
        <v>0.5</v>
      </c>
      <c r="C62" s="20">
        <v>0.94786142330618439</v>
      </c>
      <c r="D62" s="20">
        <v>0.7796730954798301</v>
      </c>
      <c r="E62" s="20">
        <v>1.0186621556249065</v>
      </c>
      <c r="F62" s="1">
        <v>1.0420153365048341</v>
      </c>
      <c r="G62" s="20">
        <v>0.8448207946235734</v>
      </c>
      <c r="H62" s="1">
        <v>1.0430030822758625</v>
      </c>
      <c r="I62" s="1">
        <v>1.015466160079523</v>
      </c>
      <c r="J62" s="1">
        <v>1.0094144024955867</v>
      </c>
      <c r="K62" s="1">
        <v>1.0076211431070223</v>
      </c>
      <c r="L62" s="1">
        <v>0.99887616389635847</v>
      </c>
      <c r="M62" s="1">
        <v>1.0056715444414772</v>
      </c>
      <c r="N62" s="1">
        <v>1.0116525429055769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3"/>
      <c r="AB62" s="23"/>
      <c r="AC62" s="24"/>
      <c r="AD62" s="24"/>
      <c r="AE62" s="24"/>
      <c r="AF62" s="24"/>
      <c r="AG62" s="24"/>
      <c r="AH62" s="24"/>
      <c r="AI62" s="24"/>
    </row>
    <row r="63" spans="2:35" ht="20" customHeight="1">
      <c r="B63" s="1">
        <v>1</v>
      </c>
      <c r="C63" s="1">
        <v>0.22215347450864073</v>
      </c>
      <c r="D63" s="1">
        <v>0.29014174892407557</v>
      </c>
      <c r="E63" s="1">
        <v>0.311879152049165</v>
      </c>
      <c r="F63" s="1">
        <v>1.0523722282283936</v>
      </c>
      <c r="G63" s="1">
        <v>0.21527282223096292</v>
      </c>
      <c r="H63" s="1">
        <v>1.0569180901898412</v>
      </c>
      <c r="I63" s="20">
        <v>1.0250929864397296</v>
      </c>
      <c r="J63" s="20">
        <v>1.0405740725791413</v>
      </c>
      <c r="K63" s="1">
        <v>1.0273624257286449</v>
      </c>
      <c r="L63" s="1">
        <v>1.0027761919352054</v>
      </c>
      <c r="M63" s="1">
        <v>0.99400390141988082</v>
      </c>
      <c r="N63" s="1">
        <v>1.006552386304973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3"/>
      <c r="AB63" s="23"/>
      <c r="AC63" s="24"/>
      <c r="AD63" s="24"/>
      <c r="AE63" s="24"/>
      <c r="AF63" s="24"/>
      <c r="AG63" s="24"/>
      <c r="AH63" s="24"/>
      <c r="AI63" s="24"/>
    </row>
    <row r="64" spans="2:35" ht="20" customHeight="1">
      <c r="B64" s="1">
        <v>2</v>
      </c>
      <c r="C64" s="1">
        <v>7.9299410749619825E-2</v>
      </c>
      <c r="D64" s="1">
        <v>0.1253776639081994</v>
      </c>
      <c r="E64" s="1">
        <v>0.13221938265918945</v>
      </c>
      <c r="F64" s="20">
        <v>0.9999982379004565</v>
      </c>
      <c r="G64" s="1">
        <v>0.11659964573093444</v>
      </c>
      <c r="H64" s="20">
        <v>1.0408859421226184</v>
      </c>
      <c r="I64" s="1">
        <v>0.38188351358737727</v>
      </c>
      <c r="J64" s="1">
        <v>0.28646635874639576</v>
      </c>
      <c r="K64" s="1">
        <v>1.0053628376057346</v>
      </c>
      <c r="L64" s="20">
        <v>0.99779267940613259</v>
      </c>
      <c r="M64" s="20">
        <v>0.98877264755303429</v>
      </c>
      <c r="N64" s="1">
        <v>1.0022717768464842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3"/>
      <c r="AB64" s="23"/>
      <c r="AC64" s="24"/>
      <c r="AD64" s="24"/>
      <c r="AE64" s="24"/>
      <c r="AF64" s="24"/>
      <c r="AG64" s="24"/>
      <c r="AH64" s="24"/>
      <c r="AI64" s="24"/>
    </row>
    <row r="65" spans="2:35" ht="20" customHeight="1">
      <c r="B65" s="1">
        <v>4</v>
      </c>
      <c r="C65" s="1">
        <v>3.7129676322325729E-2</v>
      </c>
      <c r="D65" s="1">
        <v>9.9496927664473114E-2</v>
      </c>
      <c r="E65" s="1">
        <v>9.459426135614106E-2</v>
      </c>
      <c r="F65" s="1">
        <v>0.32524369714081813</v>
      </c>
      <c r="G65" s="1">
        <v>9.0492060995734855E-2</v>
      </c>
      <c r="H65" s="1">
        <v>0.19935454680881817</v>
      </c>
      <c r="I65" s="1">
        <v>0.12748829678684023</v>
      </c>
      <c r="J65" s="1">
        <v>0.11846054576801346</v>
      </c>
      <c r="K65" s="20">
        <v>0.99954118386665802</v>
      </c>
      <c r="L65" s="1">
        <v>0.22330260453838577</v>
      </c>
      <c r="M65" s="1">
        <v>0.18695713068608666</v>
      </c>
      <c r="N65" s="20">
        <v>0.97970971668261786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3"/>
      <c r="AB65" s="23"/>
      <c r="AC65" s="24"/>
      <c r="AD65" s="24"/>
      <c r="AE65" s="24"/>
      <c r="AF65" s="24"/>
      <c r="AG65" s="24"/>
      <c r="AH65" s="24"/>
      <c r="AI65" s="24"/>
    </row>
    <row r="66" spans="2:35" ht="20" customHeight="1">
      <c r="B66" s="1">
        <v>8</v>
      </c>
      <c r="C66" s="1">
        <v>2.6601310483013497E-2</v>
      </c>
      <c r="D66" s="1">
        <v>8.3841709560772346E-2</v>
      </c>
      <c r="E66" s="1">
        <v>7.2683679838117923E-2</v>
      </c>
      <c r="F66" s="1">
        <v>9.6230567989662411E-2</v>
      </c>
      <c r="G66" s="1">
        <v>7.7359705187129479E-2</v>
      </c>
      <c r="H66" s="1">
        <v>9.7257497589402345E-2</v>
      </c>
      <c r="I66" s="1">
        <v>0.10142400751343821</v>
      </c>
      <c r="J66" s="1">
        <v>9.4465092634630335E-2</v>
      </c>
      <c r="K66" s="1">
        <v>0.1891096827415393</v>
      </c>
      <c r="L66" s="1">
        <v>7.6969604570042205E-2</v>
      </c>
      <c r="M66" s="1">
        <v>7.5847506421610256E-2</v>
      </c>
      <c r="N66" s="1">
        <v>0.17775396570450888</v>
      </c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3"/>
      <c r="AB66" s="23"/>
      <c r="AC66" s="24"/>
      <c r="AD66" s="24"/>
      <c r="AE66" s="24"/>
      <c r="AF66" s="24"/>
      <c r="AG66" s="24"/>
      <c r="AH66" s="24"/>
      <c r="AI66" s="24"/>
    </row>
    <row r="67" spans="2:35" ht="20" customHeight="1">
      <c r="B67" s="1">
        <v>16</v>
      </c>
      <c r="C67" s="1">
        <v>1.9938083757108805E-2</v>
      </c>
      <c r="D67" s="1">
        <v>5.4580216606672234E-2</v>
      </c>
      <c r="E67" s="1">
        <v>3.5708321630368335E-2</v>
      </c>
      <c r="F67" s="1">
        <v>3.388966420255133E-2</v>
      </c>
      <c r="G67" s="1">
        <v>3.6837730563216223E-2</v>
      </c>
      <c r="H67" s="1">
        <v>4.9573796888994187E-2</v>
      </c>
      <c r="I67" s="1">
        <v>6.8540667650572082E-2</v>
      </c>
      <c r="J67" s="1">
        <v>6.4014611451714887E-2</v>
      </c>
      <c r="K67" s="1">
        <v>5.1916825476935873E-2</v>
      </c>
      <c r="L67" s="1">
        <v>4.6004001104324753E-2</v>
      </c>
      <c r="M67" s="1">
        <v>4.5191296393887755E-2</v>
      </c>
      <c r="N67" s="1">
        <v>4.2944660120957545E-2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3"/>
      <c r="AB67" s="23"/>
      <c r="AC67" s="24"/>
      <c r="AD67" s="24"/>
      <c r="AE67" s="24"/>
      <c r="AF67" s="24"/>
      <c r="AG67" s="24"/>
      <c r="AH67" s="24"/>
      <c r="AI67" s="24"/>
    </row>
    <row r="68" spans="2:35" ht="20" customHeight="1"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4"/>
      <c r="AD68" s="24"/>
      <c r="AE68" s="24"/>
      <c r="AF68" s="24"/>
      <c r="AG68" s="24"/>
      <c r="AH68" s="24"/>
      <c r="AI68" s="24"/>
    </row>
    <row r="69" spans="2:35" ht="20" customHeight="1"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4"/>
      <c r="AD69" s="24"/>
      <c r="AE69" s="24"/>
      <c r="AF69" s="24"/>
      <c r="AG69" s="24"/>
      <c r="AH69" s="24"/>
      <c r="AI69" s="24"/>
    </row>
    <row r="70" spans="2:35" ht="20" customHeight="1"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4"/>
      <c r="AD70" s="24"/>
      <c r="AE70" s="24"/>
      <c r="AF70" s="24"/>
      <c r="AG70" s="24"/>
      <c r="AH70" s="24"/>
      <c r="AI70" s="24"/>
    </row>
  </sheetData>
  <conditionalFormatting sqref="C61:N67">
    <cfRule type="colorScale" priority="3">
      <colorScale>
        <cfvo type="num" val="0"/>
        <cfvo type="max"/>
        <color theme="1"/>
        <color rgb="FF00B0F0"/>
      </colorScale>
    </cfRule>
  </conditionalFormatting>
  <conditionalFormatting sqref="Q61:Z67">
    <cfRule type="colorScale" priority="2">
      <colorScale>
        <cfvo type="num" val="0"/>
        <cfvo type="max"/>
        <color theme="1"/>
        <color rgb="FF00B0F0"/>
      </colorScale>
    </cfRule>
  </conditionalFormatting>
  <conditionalFormatting sqref="AC61:AI70">
    <cfRule type="colorScale" priority="1">
      <colorScale>
        <cfvo type="num" val="0"/>
        <cfvo type="max"/>
        <color theme="1"/>
        <color rgb="FF00B0F0"/>
      </colorScale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1BEB-ED3A-0F48-B01A-5C2796166460}">
  <dimension ref="A2:P49"/>
  <sheetViews>
    <sheetView topLeftCell="A12" workbookViewId="0">
      <selection activeCell="Q36" sqref="Q36"/>
    </sheetView>
  </sheetViews>
  <sheetFormatPr baseColWidth="10" defaultColWidth="9.1640625" defaultRowHeight="13"/>
  <cols>
    <col min="1" max="1" width="20.6640625" style="1" customWidth="1"/>
    <col min="2" max="2" width="12.6640625" style="1" customWidth="1"/>
    <col min="3" max="16384" width="9.1640625" style="1"/>
  </cols>
  <sheetData>
    <row r="2" spans="1:2">
      <c r="A2" s="1" t="s">
        <v>0</v>
      </c>
      <c r="B2" s="1" t="s">
        <v>1</v>
      </c>
    </row>
    <row r="4" spans="1:2">
      <c r="A4" s="1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37</v>
      </c>
    </row>
    <row r="7" spans="1:2">
      <c r="A7" s="1" t="s">
        <v>8</v>
      </c>
      <c r="B7" s="2">
        <v>45812</v>
      </c>
    </row>
    <row r="8" spans="1:2">
      <c r="A8" s="1" t="s">
        <v>9</v>
      </c>
      <c r="B8" s="3">
        <v>0.61687499999999995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>
        <v>25030902</v>
      </c>
    </row>
    <row r="11" spans="1:2">
      <c r="A11" s="1" t="s">
        <v>13</v>
      </c>
      <c r="B11" s="1" t="s">
        <v>14</v>
      </c>
    </row>
    <row r="13" spans="1:2" ht="14">
      <c r="A13" s="4" t="s">
        <v>15</v>
      </c>
      <c r="B13" s="5"/>
    </row>
    <row r="14" spans="1:2">
      <c r="A14" s="1" t="s">
        <v>16</v>
      </c>
      <c r="B14" s="1" t="s">
        <v>17</v>
      </c>
    </row>
    <row r="15" spans="1:2">
      <c r="A15" s="1" t="s">
        <v>18</v>
      </c>
    </row>
    <row r="16" spans="1:2">
      <c r="A16" s="1" t="s">
        <v>19</v>
      </c>
      <c r="B16" s="1" t="s">
        <v>20</v>
      </c>
    </row>
    <row r="17" spans="1:16">
      <c r="B17" s="1" t="s">
        <v>21</v>
      </c>
    </row>
    <row r="18" spans="1:16">
      <c r="B18" s="1" t="s">
        <v>22</v>
      </c>
    </row>
    <row r="19" spans="1:16">
      <c r="B19" s="1" t="s">
        <v>23</v>
      </c>
    </row>
    <row r="21" spans="1:16" ht="14">
      <c r="A21" s="4" t="s">
        <v>24</v>
      </c>
      <c r="B21" s="5"/>
    </row>
    <row r="22" spans="1:16">
      <c r="A22" s="1" t="s">
        <v>25</v>
      </c>
      <c r="B22" s="1">
        <v>30</v>
      </c>
    </row>
    <row r="23" spans="1:16">
      <c r="C23" s="1" t="s">
        <v>40</v>
      </c>
      <c r="D23" s="1" t="s">
        <v>41</v>
      </c>
      <c r="E23" s="1" t="s">
        <v>42</v>
      </c>
      <c r="F23" s="1" t="s">
        <v>36</v>
      </c>
      <c r="G23" s="1" t="s">
        <v>43</v>
      </c>
      <c r="H23" s="1" t="s">
        <v>52</v>
      </c>
      <c r="I23" s="1" t="s">
        <v>53</v>
      </c>
      <c r="J23" s="1" t="s">
        <v>54</v>
      </c>
      <c r="K23" s="1" t="s">
        <v>55</v>
      </c>
      <c r="L23" s="1" t="s">
        <v>56</v>
      </c>
      <c r="M23" s="1" t="s">
        <v>57</v>
      </c>
      <c r="N23" s="1" t="s">
        <v>58</v>
      </c>
    </row>
    <row r="24" spans="1:16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6" ht="14">
      <c r="B25" s="7" t="s">
        <v>26</v>
      </c>
      <c r="C25" s="8">
        <v>9.7000000000000003E-2</v>
      </c>
      <c r="D25" s="8">
        <v>9.6000000000000002E-2</v>
      </c>
      <c r="E25" s="8">
        <v>9.5000000000000001E-2</v>
      </c>
      <c r="F25" s="8">
        <v>9.6000000000000002E-2</v>
      </c>
      <c r="G25" s="8">
        <v>9.5000000000000001E-2</v>
      </c>
      <c r="H25" s="8">
        <v>9.5000000000000001E-2</v>
      </c>
      <c r="I25" s="8">
        <v>9.6000000000000002E-2</v>
      </c>
      <c r="J25" s="8">
        <v>9.5000000000000001E-2</v>
      </c>
      <c r="K25" s="8">
        <v>9.8000000000000004E-2</v>
      </c>
      <c r="L25" s="8">
        <v>9.6000000000000002E-2</v>
      </c>
      <c r="M25" s="8">
        <v>9.6000000000000002E-2</v>
      </c>
      <c r="N25" s="8">
        <v>9.5000000000000001E-2</v>
      </c>
      <c r="O25" s="9">
        <v>600</v>
      </c>
      <c r="P25" s="1">
        <f>AVERAGE(C25:N25)</f>
        <v>9.5833333333333326E-2</v>
      </c>
    </row>
    <row r="26" spans="1:16" ht="14">
      <c r="B26" s="7" t="s">
        <v>27</v>
      </c>
      <c r="C26" s="10">
        <v>1.2829999999999999</v>
      </c>
      <c r="D26" s="11">
        <v>1.4450000000000001</v>
      </c>
      <c r="E26" s="11">
        <v>1.407</v>
      </c>
      <c r="F26" s="11">
        <v>1.395</v>
      </c>
      <c r="G26" s="11">
        <v>1.4330000000000001</v>
      </c>
      <c r="H26" s="11">
        <v>1.4239999999999999</v>
      </c>
      <c r="I26" s="11">
        <v>1.4510000000000001</v>
      </c>
      <c r="J26" s="11">
        <v>1.3839999999999999</v>
      </c>
      <c r="K26" s="11">
        <v>1.405</v>
      </c>
      <c r="L26" s="11">
        <v>1.425</v>
      </c>
      <c r="M26" s="11">
        <v>1.4219999999999999</v>
      </c>
      <c r="N26" s="11">
        <v>1.4119999999999999</v>
      </c>
      <c r="O26" s="9">
        <v>600</v>
      </c>
    </row>
    <row r="27" spans="1:16" ht="14">
      <c r="B27" s="7" t="s">
        <v>28</v>
      </c>
      <c r="C27" s="12">
        <v>1.1819999999999999</v>
      </c>
      <c r="D27" s="13">
        <v>1.113</v>
      </c>
      <c r="E27" s="11">
        <v>1.379</v>
      </c>
      <c r="F27" s="11">
        <v>1.4239999999999999</v>
      </c>
      <c r="G27" s="13">
        <v>1.0840000000000001</v>
      </c>
      <c r="H27" s="11">
        <v>1.446</v>
      </c>
      <c r="I27" s="11">
        <v>1.464</v>
      </c>
      <c r="J27" s="11">
        <v>1.387</v>
      </c>
      <c r="K27" s="11">
        <v>1.413</v>
      </c>
      <c r="L27" s="11">
        <v>1.4419999999999999</v>
      </c>
      <c r="M27" s="11">
        <v>1.4419999999999999</v>
      </c>
      <c r="N27" s="11">
        <v>1.42</v>
      </c>
      <c r="O27" s="9">
        <v>600</v>
      </c>
    </row>
    <row r="28" spans="1:16" ht="14">
      <c r="B28" s="7" t="s">
        <v>29</v>
      </c>
      <c r="C28" s="14">
        <v>0.32100000000000001</v>
      </c>
      <c r="D28" s="16">
        <v>0.443</v>
      </c>
      <c r="E28" s="16">
        <v>0.47499999999999998</v>
      </c>
      <c r="F28" s="11">
        <v>1.413</v>
      </c>
      <c r="G28" s="14">
        <v>0.34399999999999997</v>
      </c>
      <c r="H28" s="11">
        <v>1.3919999999999999</v>
      </c>
      <c r="I28" s="11">
        <v>1.4279999999999999</v>
      </c>
      <c r="J28" s="21">
        <v>1.048</v>
      </c>
      <c r="K28" s="11">
        <v>1.393</v>
      </c>
      <c r="L28" s="11">
        <v>1.379</v>
      </c>
      <c r="M28" s="11">
        <v>1.38</v>
      </c>
      <c r="N28" s="11">
        <v>1.401</v>
      </c>
      <c r="O28" s="9">
        <v>600</v>
      </c>
    </row>
    <row r="29" spans="1:16" ht="14">
      <c r="B29" s="7" t="s">
        <v>30</v>
      </c>
      <c r="C29" s="18">
        <v>0.26400000000000001</v>
      </c>
      <c r="D29" s="14">
        <v>0.3</v>
      </c>
      <c r="E29" s="14">
        <v>0.33100000000000002</v>
      </c>
      <c r="F29" s="11">
        <v>1.4370000000000001</v>
      </c>
      <c r="G29" s="18">
        <v>0.27400000000000002</v>
      </c>
      <c r="H29" s="14">
        <v>0.38100000000000001</v>
      </c>
      <c r="I29" s="14">
        <v>0.373</v>
      </c>
      <c r="J29" s="14">
        <v>0.32700000000000001</v>
      </c>
      <c r="K29" s="11">
        <v>1.403</v>
      </c>
      <c r="L29" s="14">
        <v>0.34899999999999998</v>
      </c>
      <c r="M29" s="18">
        <v>0.28899999999999998</v>
      </c>
      <c r="N29" s="11">
        <v>1.3959999999999999</v>
      </c>
      <c r="O29" s="9">
        <v>600</v>
      </c>
    </row>
    <row r="30" spans="1:16" ht="14">
      <c r="B30" s="7" t="s">
        <v>31</v>
      </c>
      <c r="C30" s="8">
        <v>0.159</v>
      </c>
      <c r="D30" s="18">
        <v>0.19600000000000001</v>
      </c>
      <c r="E30" s="8">
        <v>0.192</v>
      </c>
      <c r="F30" s="16">
        <v>0.47399999999999998</v>
      </c>
      <c r="G30" s="8">
        <v>0.184</v>
      </c>
      <c r="H30" s="8">
        <v>0.192</v>
      </c>
      <c r="I30" s="18">
        <v>0.23200000000000001</v>
      </c>
      <c r="J30" s="18">
        <v>0.25600000000000001</v>
      </c>
      <c r="K30" s="13">
        <v>1.0740000000000001</v>
      </c>
      <c r="L30" s="18">
        <v>0.19500000000000001</v>
      </c>
      <c r="M30" s="8">
        <v>0.17199999999999999</v>
      </c>
      <c r="N30" s="13">
        <v>1.1080000000000001</v>
      </c>
      <c r="O30" s="9">
        <v>600</v>
      </c>
    </row>
    <row r="31" spans="1:16" ht="14">
      <c r="B31" s="7" t="s">
        <v>32</v>
      </c>
      <c r="C31" s="8">
        <v>0.13300000000000001</v>
      </c>
      <c r="D31" s="8">
        <v>0.184</v>
      </c>
      <c r="E31" s="8">
        <v>0.17499999999999999</v>
      </c>
      <c r="F31" s="8">
        <v>0.17100000000000001</v>
      </c>
      <c r="G31" s="8">
        <v>0.17</v>
      </c>
      <c r="H31" s="8">
        <v>0.17799999999999999</v>
      </c>
      <c r="I31" s="18">
        <v>0.20499999999999999</v>
      </c>
      <c r="J31" s="18">
        <v>0.22900000000000001</v>
      </c>
      <c r="K31" s="18">
        <v>0.20899999999999999</v>
      </c>
      <c r="L31" s="8">
        <v>0.17699999999999999</v>
      </c>
      <c r="M31" s="8">
        <v>0.14499999999999999</v>
      </c>
      <c r="N31" s="8">
        <v>0.192</v>
      </c>
      <c r="O31" s="9">
        <v>600</v>
      </c>
    </row>
    <row r="32" spans="1:16" ht="14">
      <c r="B32" s="7" t="s">
        <v>33</v>
      </c>
      <c r="C32" s="8">
        <v>0.125</v>
      </c>
      <c r="D32" s="8">
        <v>0.18</v>
      </c>
      <c r="E32" s="8">
        <v>0.154</v>
      </c>
      <c r="F32" s="8">
        <v>0.13900000000000001</v>
      </c>
      <c r="G32" s="8">
        <v>0.16200000000000001</v>
      </c>
      <c r="H32" s="8">
        <v>0.16400000000000001</v>
      </c>
      <c r="I32" s="18">
        <v>0.20599999999999999</v>
      </c>
      <c r="J32" s="18">
        <v>0.22600000000000001</v>
      </c>
      <c r="K32" s="8">
        <v>0.16200000000000001</v>
      </c>
      <c r="L32" s="8">
        <v>0.17699999999999999</v>
      </c>
      <c r="M32" s="8">
        <v>0.13400000000000001</v>
      </c>
      <c r="N32" s="8">
        <v>0.13900000000000001</v>
      </c>
      <c r="O32" s="9">
        <v>600</v>
      </c>
    </row>
    <row r="35" spans="3:14">
      <c r="C35" s="1">
        <f>C26-$P$25</f>
        <v>1.1871666666666667</v>
      </c>
      <c r="D35" s="1">
        <f t="shared" ref="D35:N35" si="0">D26-$P$25</f>
        <v>1.3491666666666666</v>
      </c>
      <c r="E35" s="1">
        <f t="shared" si="0"/>
        <v>1.3111666666666668</v>
      </c>
      <c r="F35" s="1">
        <f t="shared" si="0"/>
        <v>1.2991666666666668</v>
      </c>
      <c r="G35" s="1">
        <f t="shared" si="0"/>
        <v>1.3371666666666666</v>
      </c>
      <c r="H35" s="1">
        <f t="shared" si="0"/>
        <v>1.3281666666666667</v>
      </c>
      <c r="I35" s="1">
        <f t="shared" si="0"/>
        <v>1.3551666666666669</v>
      </c>
      <c r="J35" s="1">
        <f t="shared" si="0"/>
        <v>1.2881666666666667</v>
      </c>
      <c r="K35" s="1">
        <f t="shared" si="0"/>
        <v>1.3091666666666666</v>
      </c>
      <c r="L35" s="1">
        <f t="shared" si="0"/>
        <v>1.3291666666666666</v>
      </c>
      <c r="M35" s="1">
        <f t="shared" si="0"/>
        <v>1.3261666666666665</v>
      </c>
      <c r="N35" s="1">
        <f t="shared" si="0"/>
        <v>1.3161666666666667</v>
      </c>
    </row>
    <row r="36" spans="3:14">
      <c r="C36" s="1">
        <f t="shared" ref="C36:N41" si="1">C27-$P$25</f>
        <v>1.0861666666666667</v>
      </c>
      <c r="D36" s="1">
        <f t="shared" si="1"/>
        <v>1.0171666666666668</v>
      </c>
      <c r="E36" s="1">
        <f t="shared" si="1"/>
        <v>1.2831666666666668</v>
      </c>
      <c r="F36" s="1">
        <f t="shared" si="1"/>
        <v>1.3281666666666667</v>
      </c>
      <c r="G36" s="1">
        <f t="shared" si="1"/>
        <v>0.98816666666666675</v>
      </c>
      <c r="H36" s="1">
        <f t="shared" si="1"/>
        <v>1.3501666666666665</v>
      </c>
      <c r="I36" s="1">
        <f t="shared" si="1"/>
        <v>1.3681666666666668</v>
      </c>
      <c r="J36" s="1">
        <f t="shared" si="1"/>
        <v>1.2911666666666668</v>
      </c>
      <c r="K36" s="1">
        <f t="shared" si="1"/>
        <v>1.3171666666666666</v>
      </c>
      <c r="L36" s="1">
        <f t="shared" si="1"/>
        <v>1.3461666666666665</v>
      </c>
      <c r="M36" s="1">
        <f t="shared" si="1"/>
        <v>1.3461666666666665</v>
      </c>
      <c r="N36" s="1">
        <f t="shared" si="1"/>
        <v>1.3241666666666667</v>
      </c>
    </row>
    <row r="37" spans="3:14">
      <c r="C37" s="1">
        <f t="shared" si="1"/>
        <v>0.22516666666666668</v>
      </c>
      <c r="D37" s="1">
        <f t="shared" si="1"/>
        <v>0.34716666666666668</v>
      </c>
      <c r="E37" s="1">
        <f t="shared" si="1"/>
        <v>0.37916666666666665</v>
      </c>
      <c r="F37" s="1">
        <f t="shared" si="1"/>
        <v>1.3171666666666666</v>
      </c>
      <c r="G37" s="1">
        <f t="shared" si="1"/>
        <v>0.24816666666666665</v>
      </c>
      <c r="H37" s="1">
        <f t="shared" si="1"/>
        <v>1.2961666666666667</v>
      </c>
      <c r="I37" s="1">
        <f t="shared" si="1"/>
        <v>1.3321666666666667</v>
      </c>
      <c r="J37" s="1">
        <f t="shared" si="1"/>
        <v>0.95216666666666672</v>
      </c>
      <c r="K37" s="1">
        <f t="shared" si="1"/>
        <v>1.2971666666666666</v>
      </c>
      <c r="L37" s="1">
        <f t="shared" si="1"/>
        <v>1.2831666666666668</v>
      </c>
      <c r="M37" s="1">
        <f t="shared" si="1"/>
        <v>1.2841666666666667</v>
      </c>
      <c r="N37" s="1">
        <f t="shared" si="1"/>
        <v>1.3051666666666666</v>
      </c>
    </row>
    <row r="38" spans="3:14">
      <c r="C38" s="1">
        <f t="shared" si="1"/>
        <v>0.16816666666666669</v>
      </c>
      <c r="D38" s="1">
        <f t="shared" si="1"/>
        <v>0.20416666666666666</v>
      </c>
      <c r="E38" s="1">
        <f t="shared" si="1"/>
        <v>0.23516666666666669</v>
      </c>
      <c r="F38" s="1">
        <f t="shared" si="1"/>
        <v>1.3411666666666666</v>
      </c>
      <c r="G38" s="1">
        <f t="shared" si="1"/>
        <v>0.1781666666666667</v>
      </c>
      <c r="H38" s="1">
        <f t="shared" si="1"/>
        <v>0.28516666666666668</v>
      </c>
      <c r="I38" s="1">
        <f t="shared" si="1"/>
        <v>0.27716666666666667</v>
      </c>
      <c r="J38" s="1">
        <f t="shared" si="1"/>
        <v>0.23116666666666669</v>
      </c>
      <c r="K38" s="1">
        <f t="shared" si="1"/>
        <v>1.3071666666666668</v>
      </c>
      <c r="L38" s="1">
        <f t="shared" si="1"/>
        <v>0.25316666666666665</v>
      </c>
      <c r="M38" s="1">
        <f t="shared" si="1"/>
        <v>0.19316666666666665</v>
      </c>
      <c r="N38" s="1">
        <f t="shared" si="1"/>
        <v>1.3001666666666667</v>
      </c>
    </row>
    <row r="39" spans="3:14">
      <c r="C39" s="1">
        <f t="shared" si="1"/>
        <v>6.3166666666666677E-2</v>
      </c>
      <c r="D39" s="1">
        <f t="shared" si="1"/>
        <v>0.10016666666666668</v>
      </c>
      <c r="E39" s="1">
        <f t="shared" si="1"/>
        <v>9.6166666666666678E-2</v>
      </c>
      <c r="F39" s="1">
        <f t="shared" si="1"/>
        <v>0.37816666666666665</v>
      </c>
      <c r="G39" s="1">
        <f t="shared" si="1"/>
        <v>8.8166666666666671E-2</v>
      </c>
      <c r="H39" s="1">
        <f t="shared" si="1"/>
        <v>9.6166666666666678E-2</v>
      </c>
      <c r="I39" s="1">
        <f t="shared" si="1"/>
        <v>0.13616666666666669</v>
      </c>
      <c r="J39" s="1">
        <f t="shared" si="1"/>
        <v>0.16016666666666668</v>
      </c>
      <c r="K39" s="1">
        <f t="shared" si="1"/>
        <v>0.97816666666666674</v>
      </c>
      <c r="L39" s="1">
        <f t="shared" si="1"/>
        <v>9.9166666666666681E-2</v>
      </c>
      <c r="M39" s="1">
        <f t="shared" si="1"/>
        <v>7.616666666666666E-2</v>
      </c>
      <c r="N39" s="1">
        <f t="shared" si="1"/>
        <v>1.0121666666666669</v>
      </c>
    </row>
    <row r="40" spans="3:14">
      <c r="C40" s="1">
        <f t="shared" si="1"/>
        <v>3.7166666666666681E-2</v>
      </c>
      <c r="D40" s="1">
        <f t="shared" si="1"/>
        <v>8.8166666666666671E-2</v>
      </c>
      <c r="E40" s="1">
        <f t="shared" si="1"/>
        <v>7.9166666666666663E-2</v>
      </c>
      <c r="F40" s="1">
        <f t="shared" si="1"/>
        <v>7.5166666666666687E-2</v>
      </c>
      <c r="G40" s="1">
        <f t="shared" si="1"/>
        <v>7.4166666666666686E-2</v>
      </c>
      <c r="H40" s="1">
        <f t="shared" si="1"/>
        <v>8.2166666666666666E-2</v>
      </c>
      <c r="I40" s="1">
        <f t="shared" si="1"/>
        <v>0.10916666666666666</v>
      </c>
      <c r="J40" s="1">
        <f t="shared" si="1"/>
        <v>0.13316666666666668</v>
      </c>
      <c r="K40" s="1">
        <f t="shared" si="1"/>
        <v>0.11316666666666667</v>
      </c>
      <c r="L40" s="1">
        <f t="shared" si="1"/>
        <v>8.1166666666666665E-2</v>
      </c>
      <c r="M40" s="1">
        <f t="shared" si="1"/>
        <v>4.9166666666666664E-2</v>
      </c>
      <c r="N40" s="1">
        <f t="shared" si="1"/>
        <v>9.6166666666666678E-2</v>
      </c>
    </row>
    <row r="41" spans="3:14">
      <c r="C41" s="1">
        <f t="shared" si="1"/>
        <v>2.9166666666666674E-2</v>
      </c>
      <c r="D41" s="1">
        <f t="shared" si="1"/>
        <v>8.4166666666666667E-2</v>
      </c>
      <c r="E41" s="1">
        <f t="shared" si="1"/>
        <v>5.8166666666666672E-2</v>
      </c>
      <c r="F41" s="1">
        <f t="shared" si="1"/>
        <v>4.3166666666666687E-2</v>
      </c>
      <c r="G41" s="1">
        <f t="shared" si="1"/>
        <v>6.6166666666666679E-2</v>
      </c>
      <c r="H41" s="1">
        <f t="shared" si="1"/>
        <v>6.8166666666666681E-2</v>
      </c>
      <c r="I41" s="1">
        <f t="shared" si="1"/>
        <v>0.11016666666666666</v>
      </c>
      <c r="J41" s="1">
        <f t="shared" si="1"/>
        <v>0.13016666666666668</v>
      </c>
      <c r="K41" s="1">
        <f t="shared" si="1"/>
        <v>6.6166666666666679E-2</v>
      </c>
      <c r="L41" s="1">
        <f t="shared" si="1"/>
        <v>8.1166666666666665E-2</v>
      </c>
      <c r="M41" s="1">
        <f t="shared" si="1"/>
        <v>3.8166666666666682E-2</v>
      </c>
      <c r="N41" s="1">
        <f t="shared" si="1"/>
        <v>4.3166666666666687E-2</v>
      </c>
    </row>
    <row r="43" spans="3:14">
      <c r="C43" s="1">
        <f>C35/$C$35</f>
        <v>1</v>
      </c>
      <c r="D43" s="1">
        <f>D35/$D$35</f>
        <v>1</v>
      </c>
      <c r="E43" s="1">
        <f>E35/$E$35</f>
        <v>1</v>
      </c>
      <c r="F43" s="1">
        <f>F35/$F$35</f>
        <v>1</v>
      </c>
      <c r="G43" s="1">
        <f>G35/$G$35</f>
        <v>1</v>
      </c>
      <c r="H43" s="1">
        <f>H35/$H$35</f>
        <v>1</v>
      </c>
      <c r="I43" s="1">
        <f>I35/$I$35</f>
        <v>1</v>
      </c>
      <c r="J43" s="1">
        <f>J35/$J$35</f>
        <v>1</v>
      </c>
      <c r="K43" s="1">
        <f>K35/$K$35</f>
        <v>1</v>
      </c>
      <c r="L43" s="1">
        <f>L35/$L$35</f>
        <v>1</v>
      </c>
      <c r="M43" s="1">
        <f>M35/$M$35</f>
        <v>1</v>
      </c>
      <c r="N43" s="1">
        <f>N35/$N$35</f>
        <v>1</v>
      </c>
    </row>
    <row r="44" spans="3:14">
      <c r="C44" s="1">
        <f t="shared" ref="C44:C49" si="2">C36/$C$35</f>
        <v>0.91492348729467921</v>
      </c>
      <c r="D44" s="1">
        <f t="shared" ref="D44:D49" si="3">D36/$D$35</f>
        <v>0.75392217418159369</v>
      </c>
      <c r="E44" s="1">
        <f t="shared" ref="E44:E49" si="4">E36/$E$35</f>
        <v>0.97864497267064954</v>
      </c>
      <c r="F44" s="1">
        <f t="shared" ref="F44:F49" si="5">F36/$F$35</f>
        <v>1.0223220012828735</v>
      </c>
      <c r="G44" s="1">
        <f t="shared" ref="G44:G49" si="6">G36/$G$35</f>
        <v>0.73900037392496576</v>
      </c>
      <c r="H44" s="1">
        <f t="shared" ref="H44:H49" si="7">H36/$H$35</f>
        <v>1.0165641862216086</v>
      </c>
      <c r="I44" s="1">
        <f t="shared" ref="I44:I49" si="8">I36/$I$35</f>
        <v>1.0095929160004919</v>
      </c>
      <c r="J44" s="1">
        <f t="shared" ref="J44:J49" si="9">J36/$J$35</f>
        <v>1.0023288911890285</v>
      </c>
      <c r="K44" s="1">
        <f t="shared" ref="K44:K49" si="10">K36/$K$35</f>
        <v>1.0061107574793124</v>
      </c>
      <c r="L44" s="1">
        <f t="shared" ref="L44:L49" si="11">L36/$L$35</f>
        <v>1.0127899686520376</v>
      </c>
      <c r="M44" s="1">
        <f t="shared" ref="M44:M49" si="12">M36/$M$35</f>
        <v>1.0150810607012692</v>
      </c>
      <c r="N44" s="1">
        <f t="shared" ref="N44:N49" si="13">N36/$N$35</f>
        <v>1.0060782575661644</v>
      </c>
    </row>
    <row r="45" spans="3:14">
      <c r="C45" s="1">
        <f t="shared" si="2"/>
        <v>0.18966727502456832</v>
      </c>
      <c r="D45" s="1">
        <f t="shared" si="3"/>
        <v>0.25731933292155651</v>
      </c>
      <c r="E45" s="1">
        <f t="shared" si="4"/>
        <v>0.28918266175162066</v>
      </c>
      <c r="F45" s="1">
        <f t="shared" si="5"/>
        <v>1.0138550352790248</v>
      </c>
      <c r="G45" s="1">
        <f t="shared" si="6"/>
        <v>0.1855914246541194</v>
      </c>
      <c r="H45" s="1">
        <f t="shared" si="7"/>
        <v>0.97590663822311452</v>
      </c>
      <c r="I45" s="1">
        <f t="shared" si="8"/>
        <v>0.98302791784528343</v>
      </c>
      <c r="J45" s="1">
        <f t="shared" si="9"/>
        <v>0.73916418682882656</v>
      </c>
      <c r="K45" s="1">
        <f t="shared" si="10"/>
        <v>0.99083386378103122</v>
      </c>
      <c r="L45" s="1">
        <f t="shared" si="11"/>
        <v>0.96539184952978074</v>
      </c>
      <c r="M45" s="1">
        <f t="shared" si="12"/>
        <v>0.96832977252733454</v>
      </c>
      <c r="N45" s="1">
        <f t="shared" si="13"/>
        <v>0.99164239584652392</v>
      </c>
    </row>
    <row r="46" spans="3:14">
      <c r="C46" s="1">
        <f t="shared" si="2"/>
        <v>0.14165379755720905</v>
      </c>
      <c r="D46" s="1">
        <f t="shared" si="3"/>
        <v>0.15132798023471278</v>
      </c>
      <c r="E46" s="1">
        <f t="shared" si="4"/>
        <v>0.17935680691496123</v>
      </c>
      <c r="F46" s="1">
        <f t="shared" si="5"/>
        <v>1.0323284156510582</v>
      </c>
      <c r="G46" s="1">
        <f t="shared" si="6"/>
        <v>0.13324192945282315</v>
      </c>
      <c r="H46" s="1">
        <f t="shared" si="7"/>
        <v>0.21470698958464049</v>
      </c>
      <c r="I46" s="1">
        <f t="shared" si="8"/>
        <v>0.20452588857459106</v>
      </c>
      <c r="J46" s="1">
        <f t="shared" si="9"/>
        <v>0.17945400439901671</v>
      </c>
      <c r="K46" s="1">
        <f t="shared" si="10"/>
        <v>0.99847231063017206</v>
      </c>
      <c r="L46" s="1">
        <f t="shared" si="11"/>
        <v>0.19047021943573667</v>
      </c>
      <c r="M46" s="1">
        <f t="shared" si="12"/>
        <v>0.14565791127309288</v>
      </c>
      <c r="N46" s="1">
        <f t="shared" si="13"/>
        <v>0.98784348486767126</v>
      </c>
    </row>
    <row r="47" spans="3:14">
      <c r="C47" s="1">
        <f t="shared" si="2"/>
        <v>5.3207918012073571E-2</v>
      </c>
      <c r="D47" s="1">
        <f t="shared" si="3"/>
        <v>7.4243360098826455E-2</v>
      </c>
      <c r="E47" s="1">
        <f t="shared" si="4"/>
        <v>7.3344349815685772E-2</v>
      </c>
      <c r="F47" s="1">
        <f t="shared" si="5"/>
        <v>0.29108402822321999</v>
      </c>
      <c r="G47" s="1">
        <f t="shared" si="6"/>
        <v>6.5935435622585067E-2</v>
      </c>
      <c r="H47" s="1">
        <f t="shared" si="7"/>
        <v>7.2405571589910914E-2</v>
      </c>
      <c r="I47" s="1">
        <f t="shared" si="8"/>
        <v>0.10047964580002459</v>
      </c>
      <c r="J47" s="1">
        <f t="shared" si="9"/>
        <v>0.12433691292534611</v>
      </c>
      <c r="K47" s="1">
        <f t="shared" si="10"/>
        <v>0.74716740929344372</v>
      </c>
      <c r="L47" s="1">
        <f t="shared" si="11"/>
        <v>7.4608150470219445E-2</v>
      </c>
      <c r="M47" s="1">
        <f t="shared" si="12"/>
        <v>5.7433706170667342E-2</v>
      </c>
      <c r="N47" s="1">
        <f t="shared" si="13"/>
        <v>0.7690262124857542</v>
      </c>
    </row>
    <row r="48" spans="3:14">
      <c r="C48" s="1">
        <f t="shared" si="2"/>
        <v>3.1307033553278123E-2</v>
      </c>
      <c r="D48" s="1">
        <f t="shared" si="3"/>
        <v>6.5348980852378016E-2</v>
      </c>
      <c r="E48" s="1">
        <f t="shared" si="4"/>
        <v>6.0378797508580134E-2</v>
      </c>
      <c r="F48" s="1">
        <f t="shared" si="5"/>
        <v>5.7857601026298916E-2</v>
      </c>
      <c r="G48" s="1">
        <f t="shared" si="6"/>
        <v>5.5465536582325829E-2</v>
      </c>
      <c r="H48" s="1">
        <f t="shared" si="7"/>
        <v>6.1864725812523523E-2</v>
      </c>
      <c r="I48" s="1">
        <f t="shared" si="8"/>
        <v>8.0555897183618233E-2</v>
      </c>
      <c r="J48" s="1">
        <f t="shared" si="9"/>
        <v>0.10337689222409109</v>
      </c>
      <c r="K48" s="1">
        <f t="shared" si="10"/>
        <v>8.6441756842775302E-2</v>
      </c>
      <c r="L48" s="1">
        <f t="shared" si="11"/>
        <v>6.1065830721003134E-2</v>
      </c>
      <c r="M48" s="1">
        <f t="shared" si="12"/>
        <v>3.7074274223953756E-2</v>
      </c>
      <c r="N48" s="1">
        <f t="shared" si="13"/>
        <v>7.3065721159934163E-2</v>
      </c>
    </row>
    <row r="49" spans="3:14">
      <c r="C49" s="1">
        <f t="shared" si="2"/>
        <v>2.4568299873648749E-2</v>
      </c>
      <c r="D49" s="1">
        <f t="shared" si="3"/>
        <v>6.2384187770228541E-2</v>
      </c>
      <c r="E49" s="1">
        <f t="shared" si="4"/>
        <v>4.4362527011567308E-2</v>
      </c>
      <c r="F49" s="1">
        <f t="shared" si="5"/>
        <v>3.3226427196921114E-2</v>
      </c>
      <c r="G49" s="1">
        <f t="shared" si="6"/>
        <v>4.9482737130749105E-2</v>
      </c>
      <c r="H49" s="1">
        <f t="shared" si="7"/>
        <v>5.132388003513616E-2</v>
      </c>
      <c r="I49" s="1">
        <f t="shared" si="8"/>
        <v>8.1293813799040701E-2</v>
      </c>
      <c r="J49" s="1">
        <f t="shared" si="9"/>
        <v>0.10104800103506276</v>
      </c>
      <c r="K49" s="1">
        <f t="shared" si="10"/>
        <v>5.0541056651814145E-2</v>
      </c>
      <c r="L49" s="1">
        <f t="shared" si="11"/>
        <v>6.1065830721003134E-2</v>
      </c>
      <c r="M49" s="1">
        <f t="shared" si="12"/>
        <v>2.8779690838255639E-2</v>
      </c>
      <c r="N49" s="1">
        <f t="shared" si="13"/>
        <v>3.279726478409524E-2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6924-A8A3-894C-992C-D6907BC1FF60}">
  <dimension ref="A2:P49"/>
  <sheetViews>
    <sheetView workbookViewId="0">
      <selection activeCell="AL63" sqref="AL63"/>
    </sheetView>
  </sheetViews>
  <sheetFormatPr baseColWidth="10" defaultColWidth="9.1640625" defaultRowHeight="13"/>
  <cols>
    <col min="1" max="1" width="20.6640625" style="1" customWidth="1"/>
    <col min="2" max="2" width="12.6640625" style="1" customWidth="1"/>
    <col min="3" max="16384" width="9.1640625" style="1"/>
  </cols>
  <sheetData>
    <row r="2" spans="1:2">
      <c r="A2" s="1" t="s">
        <v>0</v>
      </c>
      <c r="B2" s="1" t="s">
        <v>1</v>
      </c>
    </row>
    <row r="4" spans="1:2">
      <c r="A4" s="1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38</v>
      </c>
    </row>
    <row r="7" spans="1:2">
      <c r="A7" s="1" t="s">
        <v>8</v>
      </c>
      <c r="B7" s="2">
        <v>45812</v>
      </c>
    </row>
    <row r="8" spans="1:2">
      <c r="A8" s="1" t="s">
        <v>9</v>
      </c>
      <c r="B8" s="3">
        <v>0.61775462962962957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>
        <v>25030902</v>
      </c>
    </row>
    <row r="11" spans="1:2">
      <c r="A11" s="1" t="s">
        <v>13</v>
      </c>
      <c r="B11" s="1" t="s">
        <v>14</v>
      </c>
    </row>
    <row r="13" spans="1:2" ht="14">
      <c r="A13" s="4" t="s">
        <v>15</v>
      </c>
      <c r="B13" s="5"/>
    </row>
    <row r="14" spans="1:2">
      <c r="A14" s="1" t="s">
        <v>16</v>
      </c>
      <c r="B14" s="1" t="s">
        <v>17</v>
      </c>
    </row>
    <row r="15" spans="1:2">
      <c r="A15" s="1" t="s">
        <v>18</v>
      </c>
    </row>
    <row r="16" spans="1:2">
      <c r="A16" s="1" t="s">
        <v>19</v>
      </c>
      <c r="B16" s="1" t="s">
        <v>20</v>
      </c>
    </row>
    <row r="17" spans="1:16">
      <c r="B17" s="1" t="s">
        <v>21</v>
      </c>
    </row>
    <row r="18" spans="1:16">
      <c r="B18" s="1" t="s">
        <v>22</v>
      </c>
    </row>
    <row r="19" spans="1:16">
      <c r="B19" s="1" t="s">
        <v>23</v>
      </c>
    </row>
    <row r="21" spans="1:16" ht="14">
      <c r="A21" s="4" t="s">
        <v>24</v>
      </c>
      <c r="B21" s="5"/>
    </row>
    <row r="22" spans="1:16">
      <c r="A22" s="1" t="s">
        <v>25</v>
      </c>
      <c r="B22" s="1">
        <v>29.9</v>
      </c>
    </row>
    <row r="24" spans="1:16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6" ht="14">
      <c r="B25" s="7" t="s">
        <v>26</v>
      </c>
      <c r="C25" s="8">
        <v>9.7000000000000003E-2</v>
      </c>
      <c r="D25" s="8">
        <v>9.7000000000000003E-2</v>
      </c>
      <c r="E25" s="8">
        <v>9.7000000000000003E-2</v>
      </c>
      <c r="F25" s="8">
        <v>9.6000000000000002E-2</v>
      </c>
      <c r="G25" s="8">
        <v>9.5000000000000001E-2</v>
      </c>
      <c r="H25" s="8">
        <v>9.5000000000000001E-2</v>
      </c>
      <c r="I25" s="8">
        <v>9.6000000000000002E-2</v>
      </c>
      <c r="J25" s="8">
        <v>9.5000000000000001E-2</v>
      </c>
      <c r="K25" s="8">
        <v>9.6000000000000002E-2</v>
      </c>
      <c r="L25" s="8">
        <v>9.6000000000000002E-2</v>
      </c>
      <c r="M25" s="8">
        <v>9.5000000000000001E-2</v>
      </c>
      <c r="N25" s="8">
        <v>9.6000000000000002E-2</v>
      </c>
      <c r="O25" s="9">
        <v>600</v>
      </c>
      <c r="P25" s="1">
        <f>AVERAGE(C25:N25)</f>
        <v>9.5916666666666664E-2</v>
      </c>
    </row>
    <row r="26" spans="1:16" ht="14">
      <c r="B26" s="7" t="s">
        <v>27</v>
      </c>
      <c r="C26" s="10">
        <v>1.2749999999999999</v>
      </c>
      <c r="D26" s="11">
        <v>1.452</v>
      </c>
      <c r="E26" s="10">
        <v>1.345</v>
      </c>
      <c r="F26" s="11">
        <v>1.397</v>
      </c>
      <c r="G26" s="11">
        <v>1.389</v>
      </c>
      <c r="H26" s="10">
        <v>1.363</v>
      </c>
      <c r="I26" s="11">
        <v>1.399</v>
      </c>
      <c r="J26" s="11">
        <v>1.387</v>
      </c>
      <c r="K26" s="11">
        <v>1.377</v>
      </c>
      <c r="L26" s="11">
        <v>1.41</v>
      </c>
      <c r="M26" s="11">
        <v>1.381</v>
      </c>
      <c r="N26" s="11">
        <v>1.3919999999999999</v>
      </c>
      <c r="O26" s="9">
        <v>600</v>
      </c>
    </row>
    <row r="27" spans="1:16" ht="14">
      <c r="B27" s="7" t="s">
        <v>28</v>
      </c>
      <c r="C27" s="13">
        <v>1.1339999999999999</v>
      </c>
      <c r="D27" s="13">
        <v>1.119</v>
      </c>
      <c r="E27" s="10">
        <v>1.337</v>
      </c>
      <c r="F27" s="11">
        <v>1.397</v>
      </c>
      <c r="G27" s="12">
        <v>1.24</v>
      </c>
      <c r="H27" s="11">
        <v>1.391</v>
      </c>
      <c r="I27" s="11">
        <v>1.4139999999999999</v>
      </c>
      <c r="J27" s="11">
        <v>1.409</v>
      </c>
      <c r="K27" s="10">
        <v>1.3660000000000001</v>
      </c>
      <c r="L27" s="11">
        <v>1.397</v>
      </c>
      <c r="M27" s="11">
        <v>1.38</v>
      </c>
      <c r="N27" s="11">
        <v>1.3740000000000001</v>
      </c>
      <c r="O27" s="9">
        <v>600</v>
      </c>
    </row>
    <row r="28" spans="1:16" ht="14">
      <c r="B28" s="7" t="s">
        <v>29</v>
      </c>
      <c r="C28" s="14">
        <v>0.35399999999999998</v>
      </c>
      <c r="D28" s="16">
        <v>0.46600000000000003</v>
      </c>
      <c r="E28" s="15">
        <v>0.50800000000000001</v>
      </c>
      <c r="F28" s="11">
        <v>1.4670000000000001</v>
      </c>
      <c r="G28" s="16">
        <v>0.41499999999999998</v>
      </c>
      <c r="H28" s="11">
        <v>1.399</v>
      </c>
      <c r="I28" s="11">
        <v>1.45</v>
      </c>
      <c r="J28" s="21">
        <v>1.0369999999999999</v>
      </c>
      <c r="K28" s="11">
        <v>1.4419999999999999</v>
      </c>
      <c r="L28" s="11">
        <v>1.3959999999999999</v>
      </c>
      <c r="M28" s="11">
        <v>1.375</v>
      </c>
      <c r="N28" s="11">
        <v>1.411</v>
      </c>
      <c r="O28" s="9">
        <v>600</v>
      </c>
    </row>
    <row r="29" spans="1:16" ht="14">
      <c r="B29" s="7" t="s">
        <v>30</v>
      </c>
      <c r="C29" s="18">
        <v>0.20699999999999999</v>
      </c>
      <c r="D29" s="18">
        <v>0.249</v>
      </c>
      <c r="E29" s="18">
        <v>0.27500000000000002</v>
      </c>
      <c r="F29" s="11">
        <v>1.395</v>
      </c>
      <c r="G29" s="18">
        <v>0.249</v>
      </c>
      <c r="H29" s="16">
        <v>0.40400000000000003</v>
      </c>
      <c r="I29" s="16">
        <v>0.42099999999999999</v>
      </c>
      <c r="J29" s="14">
        <v>0.35799999999999998</v>
      </c>
      <c r="K29" s="11">
        <v>1.44</v>
      </c>
      <c r="L29" s="14">
        <v>0.35899999999999999</v>
      </c>
      <c r="M29" s="14">
        <v>0.32300000000000001</v>
      </c>
      <c r="N29" s="11">
        <v>1.411</v>
      </c>
      <c r="O29" s="9">
        <v>600</v>
      </c>
    </row>
    <row r="30" spans="1:16" ht="14">
      <c r="B30" s="7" t="s">
        <v>31</v>
      </c>
      <c r="C30" s="8">
        <v>0.14699999999999999</v>
      </c>
      <c r="D30" s="18">
        <v>0.19700000000000001</v>
      </c>
      <c r="E30" s="8">
        <v>0.17399999999999999</v>
      </c>
      <c r="F30" s="15">
        <v>0.499</v>
      </c>
      <c r="G30" s="8">
        <v>0.182</v>
      </c>
      <c r="H30" s="18">
        <v>0.217</v>
      </c>
      <c r="I30" s="18">
        <v>0.251</v>
      </c>
      <c r="J30" s="18">
        <v>0.27400000000000002</v>
      </c>
      <c r="K30" s="13">
        <v>1.099</v>
      </c>
      <c r="L30" s="18">
        <v>0.21</v>
      </c>
      <c r="M30" s="8">
        <v>0.17199999999999999</v>
      </c>
      <c r="N30" s="13">
        <v>1.0860000000000001</v>
      </c>
      <c r="O30" s="9">
        <v>600</v>
      </c>
    </row>
    <row r="31" spans="1:16" ht="14">
      <c r="B31" s="7" t="s">
        <v>32</v>
      </c>
      <c r="C31" s="8">
        <v>0.13600000000000001</v>
      </c>
      <c r="D31" s="8">
        <v>0.18099999999999999</v>
      </c>
      <c r="E31" s="8">
        <v>0.153</v>
      </c>
      <c r="F31" s="8">
        <v>0.17499999999999999</v>
      </c>
      <c r="G31" s="8">
        <v>0.159</v>
      </c>
      <c r="H31" s="8">
        <v>0.17</v>
      </c>
      <c r="I31" s="18">
        <v>0.217</v>
      </c>
      <c r="J31" s="18">
        <v>0.23599999999999999</v>
      </c>
      <c r="K31" s="18">
        <v>0.22500000000000001</v>
      </c>
      <c r="L31" s="8">
        <v>0.189</v>
      </c>
      <c r="M31" s="8">
        <v>0.14099999999999999</v>
      </c>
      <c r="N31" s="18">
        <v>0.19600000000000001</v>
      </c>
      <c r="O31" s="9">
        <v>600</v>
      </c>
    </row>
    <row r="32" spans="1:16" ht="14">
      <c r="B32" s="7" t="s">
        <v>33</v>
      </c>
      <c r="C32" s="8">
        <v>0.127</v>
      </c>
      <c r="D32" s="8">
        <v>0.17699999999999999</v>
      </c>
      <c r="E32" s="8">
        <v>0.13900000000000001</v>
      </c>
      <c r="F32" s="8">
        <v>0.13600000000000001</v>
      </c>
      <c r="G32" s="8">
        <v>0.13800000000000001</v>
      </c>
      <c r="H32" s="8">
        <v>0.16500000000000001</v>
      </c>
      <c r="I32" s="18">
        <v>0.20699999999999999</v>
      </c>
      <c r="J32" s="18">
        <v>0.23100000000000001</v>
      </c>
      <c r="K32" s="8">
        <v>0.16300000000000001</v>
      </c>
      <c r="L32" s="8">
        <v>0.17899999999999999</v>
      </c>
      <c r="M32" s="8">
        <v>0.13600000000000001</v>
      </c>
      <c r="N32" s="8">
        <v>0.14399999999999999</v>
      </c>
      <c r="O32" s="9">
        <v>600</v>
      </c>
    </row>
    <row r="35" spans="3:14">
      <c r="C35" s="1">
        <f>C26-$P$25</f>
        <v>1.1790833333333333</v>
      </c>
      <c r="D35" s="1">
        <f t="shared" ref="D35:N35" si="0">D26-$P$25</f>
        <v>1.3560833333333333</v>
      </c>
      <c r="E35" s="1">
        <f t="shared" si="0"/>
        <v>1.2490833333333333</v>
      </c>
      <c r="F35" s="1">
        <f t="shared" si="0"/>
        <v>1.3010833333333334</v>
      </c>
      <c r="G35" s="1">
        <f t="shared" si="0"/>
        <v>1.2930833333333334</v>
      </c>
      <c r="H35" s="1">
        <f t="shared" si="0"/>
        <v>1.2670833333333333</v>
      </c>
      <c r="I35" s="1">
        <f t="shared" si="0"/>
        <v>1.3030833333333334</v>
      </c>
      <c r="J35" s="1">
        <f t="shared" si="0"/>
        <v>1.2910833333333334</v>
      </c>
      <c r="K35" s="1">
        <f t="shared" si="0"/>
        <v>1.2810833333333334</v>
      </c>
      <c r="L35" s="1">
        <f t="shared" si="0"/>
        <v>1.3140833333333333</v>
      </c>
      <c r="M35" s="1">
        <f t="shared" si="0"/>
        <v>1.2850833333333334</v>
      </c>
      <c r="N35" s="1">
        <f t="shared" si="0"/>
        <v>1.2960833333333333</v>
      </c>
    </row>
    <row r="36" spans="3:14">
      <c r="C36" s="1">
        <f t="shared" ref="C36:N41" si="1">C27-$P$25</f>
        <v>1.0380833333333332</v>
      </c>
      <c r="D36" s="1">
        <f t="shared" si="1"/>
        <v>1.0230833333333333</v>
      </c>
      <c r="E36" s="1">
        <f t="shared" si="1"/>
        <v>1.2410833333333333</v>
      </c>
      <c r="F36" s="1">
        <f t="shared" si="1"/>
        <v>1.3010833333333334</v>
      </c>
      <c r="G36" s="1">
        <f t="shared" si="1"/>
        <v>1.1440833333333333</v>
      </c>
      <c r="H36" s="1">
        <f t="shared" si="1"/>
        <v>1.2950833333333334</v>
      </c>
      <c r="I36" s="1">
        <f t="shared" si="1"/>
        <v>1.3180833333333333</v>
      </c>
      <c r="J36" s="1">
        <f t="shared" si="1"/>
        <v>1.3130833333333334</v>
      </c>
      <c r="K36" s="1">
        <f t="shared" si="1"/>
        <v>1.2700833333333335</v>
      </c>
      <c r="L36" s="1">
        <f t="shared" si="1"/>
        <v>1.3010833333333334</v>
      </c>
      <c r="M36" s="1">
        <f t="shared" si="1"/>
        <v>1.2840833333333332</v>
      </c>
      <c r="N36" s="1">
        <f t="shared" si="1"/>
        <v>1.2780833333333335</v>
      </c>
    </row>
    <row r="37" spans="3:14">
      <c r="C37" s="1">
        <f t="shared" si="1"/>
        <v>0.25808333333333333</v>
      </c>
      <c r="D37" s="1">
        <f t="shared" si="1"/>
        <v>0.37008333333333338</v>
      </c>
      <c r="E37" s="1">
        <f t="shared" si="1"/>
        <v>0.41208333333333336</v>
      </c>
      <c r="F37" s="1">
        <f t="shared" si="1"/>
        <v>1.3710833333333334</v>
      </c>
      <c r="G37" s="1">
        <f t="shared" si="1"/>
        <v>0.31908333333333333</v>
      </c>
      <c r="H37" s="1">
        <f t="shared" si="1"/>
        <v>1.3030833333333334</v>
      </c>
      <c r="I37" s="1">
        <f t="shared" si="1"/>
        <v>1.3540833333333333</v>
      </c>
      <c r="J37" s="1">
        <f t="shared" si="1"/>
        <v>0.94108333333333327</v>
      </c>
      <c r="K37" s="1">
        <f t="shared" si="1"/>
        <v>1.3460833333333333</v>
      </c>
      <c r="L37" s="1">
        <f t="shared" si="1"/>
        <v>1.3000833333333333</v>
      </c>
      <c r="M37" s="1">
        <f t="shared" si="1"/>
        <v>1.2790833333333333</v>
      </c>
      <c r="N37" s="1">
        <f t="shared" si="1"/>
        <v>1.3150833333333334</v>
      </c>
    </row>
    <row r="38" spans="3:14">
      <c r="C38" s="1">
        <f t="shared" si="1"/>
        <v>0.11108333333333333</v>
      </c>
      <c r="D38" s="1">
        <f t="shared" si="1"/>
        <v>0.15308333333333335</v>
      </c>
      <c r="E38" s="1">
        <f t="shared" si="1"/>
        <v>0.17908333333333337</v>
      </c>
      <c r="F38" s="1">
        <f t="shared" si="1"/>
        <v>1.2990833333333334</v>
      </c>
      <c r="G38" s="1">
        <f t="shared" si="1"/>
        <v>0.15308333333333335</v>
      </c>
      <c r="H38" s="1">
        <f t="shared" si="1"/>
        <v>0.30808333333333338</v>
      </c>
      <c r="I38" s="1">
        <f t="shared" si="1"/>
        <v>0.32508333333333334</v>
      </c>
      <c r="J38" s="1">
        <f t="shared" si="1"/>
        <v>0.26208333333333333</v>
      </c>
      <c r="K38" s="1">
        <f t="shared" si="1"/>
        <v>1.3440833333333333</v>
      </c>
      <c r="L38" s="1">
        <f t="shared" si="1"/>
        <v>0.26308333333333334</v>
      </c>
      <c r="M38" s="1">
        <f t="shared" si="1"/>
        <v>0.22708333333333336</v>
      </c>
      <c r="N38" s="1">
        <f t="shared" si="1"/>
        <v>1.3150833333333334</v>
      </c>
    </row>
    <row r="39" spans="3:14">
      <c r="C39" s="1">
        <f t="shared" si="1"/>
        <v>5.1083333333333328E-2</v>
      </c>
      <c r="D39" s="1">
        <f t="shared" si="1"/>
        <v>0.10108333333333334</v>
      </c>
      <c r="E39" s="1">
        <f t="shared" si="1"/>
        <v>7.8083333333333324E-2</v>
      </c>
      <c r="F39" s="1">
        <f t="shared" si="1"/>
        <v>0.40308333333333335</v>
      </c>
      <c r="G39" s="1">
        <f t="shared" si="1"/>
        <v>8.6083333333333331E-2</v>
      </c>
      <c r="H39" s="1">
        <f t="shared" si="1"/>
        <v>0.12108333333333333</v>
      </c>
      <c r="I39" s="1">
        <f t="shared" si="1"/>
        <v>0.15508333333333335</v>
      </c>
      <c r="J39" s="1">
        <f t="shared" si="1"/>
        <v>0.17808333333333337</v>
      </c>
      <c r="K39" s="1">
        <f t="shared" si="1"/>
        <v>1.0030833333333333</v>
      </c>
      <c r="L39" s="1">
        <f t="shared" si="1"/>
        <v>0.11408333333333333</v>
      </c>
      <c r="M39" s="1">
        <f t="shared" si="1"/>
        <v>7.6083333333333322E-2</v>
      </c>
      <c r="N39" s="1">
        <f t="shared" si="1"/>
        <v>0.99008333333333343</v>
      </c>
    </row>
    <row r="40" spans="3:14">
      <c r="C40" s="1">
        <f t="shared" si="1"/>
        <v>4.0083333333333346E-2</v>
      </c>
      <c r="D40" s="1">
        <f t="shared" si="1"/>
        <v>8.508333333333333E-2</v>
      </c>
      <c r="E40" s="1">
        <f t="shared" si="1"/>
        <v>5.7083333333333333E-2</v>
      </c>
      <c r="F40" s="1">
        <f t="shared" si="1"/>
        <v>7.9083333333333325E-2</v>
      </c>
      <c r="G40" s="1">
        <f t="shared" si="1"/>
        <v>6.3083333333333338E-2</v>
      </c>
      <c r="H40" s="1">
        <f t="shared" si="1"/>
        <v>7.4083333333333348E-2</v>
      </c>
      <c r="I40" s="1">
        <f t="shared" si="1"/>
        <v>0.12108333333333333</v>
      </c>
      <c r="J40" s="1">
        <f t="shared" si="1"/>
        <v>0.14008333333333334</v>
      </c>
      <c r="K40" s="1">
        <f t="shared" si="1"/>
        <v>0.12908333333333333</v>
      </c>
      <c r="L40" s="1">
        <f t="shared" si="1"/>
        <v>9.3083333333333337E-2</v>
      </c>
      <c r="M40" s="1">
        <f t="shared" si="1"/>
        <v>4.5083333333333322E-2</v>
      </c>
      <c r="N40" s="1">
        <f t="shared" si="1"/>
        <v>0.10008333333333334</v>
      </c>
    </row>
    <row r="41" spans="3:14">
      <c r="C41" s="1">
        <f t="shared" si="1"/>
        <v>3.1083333333333338E-2</v>
      </c>
      <c r="D41" s="1">
        <f t="shared" si="1"/>
        <v>8.1083333333333327E-2</v>
      </c>
      <c r="E41" s="1">
        <f t="shared" si="1"/>
        <v>4.3083333333333348E-2</v>
      </c>
      <c r="F41" s="1">
        <f t="shared" si="1"/>
        <v>4.0083333333333346E-2</v>
      </c>
      <c r="G41" s="1">
        <f t="shared" si="1"/>
        <v>4.2083333333333348E-2</v>
      </c>
      <c r="H41" s="1">
        <f t="shared" si="1"/>
        <v>6.9083333333333344E-2</v>
      </c>
      <c r="I41" s="1">
        <f t="shared" si="1"/>
        <v>0.11108333333333333</v>
      </c>
      <c r="J41" s="1">
        <f t="shared" si="1"/>
        <v>0.13508333333333333</v>
      </c>
      <c r="K41" s="1">
        <f t="shared" si="1"/>
        <v>6.7083333333333342E-2</v>
      </c>
      <c r="L41" s="1">
        <f t="shared" si="1"/>
        <v>8.3083333333333328E-2</v>
      </c>
      <c r="M41" s="1">
        <f t="shared" si="1"/>
        <v>4.0083333333333346E-2</v>
      </c>
      <c r="N41" s="1">
        <f t="shared" si="1"/>
        <v>4.8083333333333325E-2</v>
      </c>
    </row>
    <row r="43" spans="3:14">
      <c r="C43" s="1">
        <f>C35/$C$35</f>
        <v>1</v>
      </c>
      <c r="D43" s="1">
        <f>D35/$D$35</f>
        <v>1</v>
      </c>
      <c r="E43" s="1">
        <f>E35/$E$35</f>
        <v>1</v>
      </c>
      <c r="F43" s="1">
        <f>F35/$F$35</f>
        <v>1</v>
      </c>
      <c r="G43" s="1">
        <f>G35/$G$35</f>
        <v>1</v>
      </c>
      <c r="H43" s="1">
        <f>H35/$H$35</f>
        <v>1</v>
      </c>
      <c r="I43" s="1">
        <f>I35/$I$35</f>
        <v>1</v>
      </c>
      <c r="J43" s="1">
        <f>J35/$J$35</f>
        <v>1</v>
      </c>
      <c r="K43" s="1">
        <f>K35/$K$35</f>
        <v>1</v>
      </c>
      <c r="L43" s="1">
        <f>L35/$L$35</f>
        <v>1</v>
      </c>
      <c r="M43" s="1">
        <f>M35/$M$35</f>
        <v>1</v>
      </c>
      <c r="N43" s="1">
        <f>N35/$N$35</f>
        <v>1</v>
      </c>
    </row>
    <row r="44" spans="3:14">
      <c r="C44" s="1">
        <f t="shared" ref="C44:C49" si="2">C36/$C$35</f>
        <v>0.88041557707258467</v>
      </c>
      <c r="D44" s="1">
        <f t="shared" ref="D44:D49" si="3">D36/$D$35</f>
        <v>0.75443986972285382</v>
      </c>
      <c r="E44" s="1">
        <f t="shared" ref="E44:E49" si="4">E36/$E$35</f>
        <v>0.99359530322236311</v>
      </c>
      <c r="F44" s="1">
        <f t="shared" ref="F44:F49" si="5">F36/$F$35</f>
        <v>1</v>
      </c>
      <c r="G44" s="1">
        <f t="shared" ref="G44:G49" si="6">G36/$G$35</f>
        <v>0.88477154089063603</v>
      </c>
      <c r="H44" s="1">
        <f t="shared" ref="H44:H49" si="7">H36/$H$35</f>
        <v>1.0220979940808945</v>
      </c>
      <c r="I44" s="1">
        <f t="shared" ref="I44:I49" si="8">I36/$I$35</f>
        <v>1.011511159429558</v>
      </c>
      <c r="J44" s="1">
        <f t="shared" ref="J44:J49" si="9">J36/$J$35</f>
        <v>1.0170399535273995</v>
      </c>
      <c r="K44" s="1">
        <f t="shared" ref="K44:K49" si="10">K36/$K$35</f>
        <v>0.9914135172054902</v>
      </c>
      <c r="L44" s="1">
        <f t="shared" ref="L44:L49" si="11">L36/$L$35</f>
        <v>0.99010717230008249</v>
      </c>
      <c r="M44" s="1">
        <f t="shared" ref="M44:M49" si="12">M36/$M$35</f>
        <v>0.99922184034757788</v>
      </c>
      <c r="N44" s="1">
        <f t="shared" ref="N44:N49" si="13">N36/$N$35</f>
        <v>0.98611200411496192</v>
      </c>
    </row>
    <row r="45" spans="3:14">
      <c r="C45" s="1">
        <f t="shared" si="2"/>
        <v>0.2188847268358188</v>
      </c>
      <c r="D45" s="1">
        <f t="shared" si="3"/>
        <v>0.27290604068088248</v>
      </c>
      <c r="E45" s="1">
        <f t="shared" si="4"/>
        <v>0.32990859963973584</v>
      </c>
      <c r="F45" s="1">
        <f t="shared" si="5"/>
        <v>1.0538013194133096</v>
      </c>
      <c r="G45" s="1">
        <f t="shared" si="6"/>
        <v>0.24676161629180898</v>
      </c>
      <c r="H45" s="1">
        <f t="shared" si="7"/>
        <v>1.0284117066754357</v>
      </c>
      <c r="I45" s="1">
        <f t="shared" si="8"/>
        <v>1.0391379420604976</v>
      </c>
      <c r="J45" s="1">
        <f t="shared" si="9"/>
        <v>0.72890983024591749</v>
      </c>
      <c r="K45" s="1">
        <f t="shared" si="10"/>
        <v>1.0507383074221037</v>
      </c>
      <c r="L45" s="1">
        <f t="shared" si="11"/>
        <v>0.98934618555393494</v>
      </c>
      <c r="M45" s="1">
        <f t="shared" si="12"/>
        <v>0.99533104208546785</v>
      </c>
      <c r="N45" s="1">
        <f t="shared" si="13"/>
        <v>1.0146595512119849</v>
      </c>
    </row>
    <row r="46" spans="3:14">
      <c r="C46" s="1">
        <f t="shared" si="2"/>
        <v>9.4211605060428291E-2</v>
      </c>
      <c r="D46" s="1">
        <f t="shared" si="3"/>
        <v>0.11288637620598539</v>
      </c>
      <c r="E46" s="1">
        <f t="shared" si="4"/>
        <v>0.14337180599106014</v>
      </c>
      <c r="F46" s="1">
        <f t="shared" si="5"/>
        <v>0.99846281944533399</v>
      </c>
      <c r="G46" s="1">
        <f t="shared" si="6"/>
        <v>0.11838628600889348</v>
      </c>
      <c r="H46" s="1">
        <f t="shared" si="7"/>
        <v>0.24314370272936536</v>
      </c>
      <c r="I46" s="1">
        <f t="shared" si="8"/>
        <v>0.24947240519281191</v>
      </c>
      <c r="J46" s="1">
        <f t="shared" si="9"/>
        <v>0.20299490092299749</v>
      </c>
      <c r="K46" s="1">
        <f t="shared" si="10"/>
        <v>1.0491771287321927</v>
      </c>
      <c r="L46" s="1">
        <f t="shared" si="11"/>
        <v>0.20020292979897267</v>
      </c>
      <c r="M46" s="1">
        <f t="shared" si="12"/>
        <v>0.17670708773750082</v>
      </c>
      <c r="N46" s="1">
        <f t="shared" si="13"/>
        <v>1.0146595512119849</v>
      </c>
    </row>
    <row r="47" spans="3:14">
      <c r="C47" s="1">
        <f t="shared" si="2"/>
        <v>4.3324616580677079E-2</v>
      </c>
      <c r="D47" s="1">
        <f t="shared" si="3"/>
        <v>7.4540650156701291E-2</v>
      </c>
      <c r="E47" s="1">
        <f t="shared" si="4"/>
        <v>6.2512509173393821E-2</v>
      </c>
      <c r="F47" s="1">
        <f t="shared" si="5"/>
        <v>0.30980593095497344</v>
      </c>
      <c r="G47" s="1">
        <f t="shared" si="6"/>
        <v>6.6572146677837202E-2</v>
      </c>
      <c r="H47" s="1">
        <f t="shared" si="7"/>
        <v>9.5560670831963165E-2</v>
      </c>
      <c r="I47" s="1">
        <f t="shared" si="8"/>
        <v>0.11901259832448681</v>
      </c>
      <c r="J47" s="1">
        <f t="shared" si="9"/>
        <v>0.13793326018201771</v>
      </c>
      <c r="K47" s="1">
        <f t="shared" si="10"/>
        <v>0.78299616210238732</v>
      </c>
      <c r="L47" s="1">
        <f t="shared" si="11"/>
        <v>8.6815904622994489E-2</v>
      </c>
      <c r="M47" s="1">
        <f t="shared" si="12"/>
        <v>5.9204980221775491E-2</v>
      </c>
      <c r="N47" s="1">
        <f t="shared" si="13"/>
        <v>0.76390406995434978</v>
      </c>
    </row>
    <row r="48" spans="3:14">
      <c r="C48" s="1">
        <f t="shared" si="2"/>
        <v>3.3995335359389367E-2</v>
      </c>
      <c r="D48" s="1">
        <f t="shared" si="3"/>
        <v>6.2741965218460025E-2</v>
      </c>
      <c r="E48" s="1">
        <f t="shared" si="4"/>
        <v>4.5700180132096868E-2</v>
      </c>
      <c r="F48" s="1">
        <f t="shared" si="5"/>
        <v>6.0782681099084086E-2</v>
      </c>
      <c r="G48" s="1">
        <f t="shared" si="6"/>
        <v>4.8785203325385065E-2</v>
      </c>
      <c r="H48" s="1">
        <f t="shared" si="7"/>
        <v>5.8467609339033222E-2</v>
      </c>
      <c r="I48" s="1">
        <f t="shared" si="8"/>
        <v>9.2920636950821769E-2</v>
      </c>
      <c r="J48" s="1">
        <f t="shared" si="9"/>
        <v>0.10850061318014588</v>
      </c>
      <c r="K48" s="1">
        <f t="shared" si="10"/>
        <v>0.10076107461133155</v>
      </c>
      <c r="L48" s="1">
        <f t="shared" si="11"/>
        <v>7.0835182953896889E-2</v>
      </c>
      <c r="M48" s="1">
        <f t="shared" si="12"/>
        <v>3.5082030996692812E-2</v>
      </c>
      <c r="N48" s="1">
        <f t="shared" si="13"/>
        <v>7.7219828971902535E-2</v>
      </c>
    </row>
    <row r="49" spans="3:14">
      <c r="C49" s="1">
        <f t="shared" si="2"/>
        <v>2.6362287087426679E-2</v>
      </c>
      <c r="D49" s="1">
        <f t="shared" si="3"/>
        <v>5.9792293983899708E-2</v>
      </c>
      <c r="E49" s="1">
        <f t="shared" si="4"/>
        <v>3.4491960771232247E-2</v>
      </c>
      <c r="F49" s="1">
        <f t="shared" si="5"/>
        <v>3.0807660283097428E-2</v>
      </c>
      <c r="G49" s="1">
        <f t="shared" si="6"/>
        <v>3.2544950699233112E-2</v>
      </c>
      <c r="H49" s="1">
        <f t="shared" si="7"/>
        <v>5.4521538967444924E-2</v>
      </c>
      <c r="I49" s="1">
        <f t="shared" si="8"/>
        <v>8.5246530664449691E-2</v>
      </c>
      <c r="J49" s="1">
        <f t="shared" si="9"/>
        <v>0.10462789646937326</v>
      </c>
      <c r="K49" s="1">
        <f t="shared" si="10"/>
        <v>5.2364535224094198E-2</v>
      </c>
      <c r="L49" s="1">
        <f t="shared" si="11"/>
        <v>6.3225315492421844E-2</v>
      </c>
      <c r="M49" s="1">
        <f t="shared" si="12"/>
        <v>3.119123273458272E-2</v>
      </c>
      <c r="N49" s="1">
        <f t="shared" si="13"/>
        <v>3.7098951970680895E-2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44A1-3602-FC48-9800-28BC5B969BFD}">
  <dimension ref="A2:AI75"/>
  <sheetViews>
    <sheetView tabSelected="1" workbookViewId="0">
      <selection activeCell="P66" sqref="P66"/>
    </sheetView>
  </sheetViews>
  <sheetFormatPr baseColWidth="10" defaultColWidth="9.1640625" defaultRowHeight="13"/>
  <cols>
    <col min="1" max="1" width="20.6640625" style="1" customWidth="1"/>
    <col min="2" max="2" width="12.6640625" style="1" customWidth="1"/>
    <col min="3" max="26" width="9.1640625" style="1"/>
    <col min="27" max="33" width="5.83203125" style="1" customWidth="1"/>
    <col min="34" max="16384" width="9.1640625" style="1"/>
  </cols>
  <sheetData>
    <row r="2" spans="1:2">
      <c r="A2" s="1" t="s">
        <v>0</v>
      </c>
      <c r="B2" s="1" t="s">
        <v>1</v>
      </c>
    </row>
    <row r="4" spans="1:2">
      <c r="A4" s="1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39</v>
      </c>
    </row>
    <row r="7" spans="1:2">
      <c r="A7" s="1" t="s">
        <v>8</v>
      </c>
      <c r="B7" s="2">
        <v>45812</v>
      </c>
    </row>
    <row r="8" spans="1:2">
      <c r="A8" s="1" t="s">
        <v>9</v>
      </c>
      <c r="B8" s="3">
        <v>0.61858796296296303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>
        <v>25030902</v>
      </c>
    </row>
    <row r="11" spans="1:2">
      <c r="A11" s="1" t="s">
        <v>13</v>
      </c>
      <c r="B11" s="1" t="s">
        <v>14</v>
      </c>
    </row>
    <row r="13" spans="1:2" ht="14">
      <c r="A13" s="4" t="s">
        <v>15</v>
      </c>
      <c r="B13" s="5"/>
    </row>
    <row r="14" spans="1:2">
      <c r="A14" s="1" t="s">
        <v>16</v>
      </c>
      <c r="B14" s="1" t="s">
        <v>17</v>
      </c>
    </row>
    <row r="15" spans="1:2">
      <c r="A15" s="1" t="s">
        <v>18</v>
      </c>
    </row>
    <row r="16" spans="1:2">
      <c r="A16" s="1" t="s">
        <v>19</v>
      </c>
      <c r="B16" s="1" t="s">
        <v>20</v>
      </c>
    </row>
    <row r="17" spans="1:16">
      <c r="B17" s="1" t="s">
        <v>21</v>
      </c>
    </row>
    <row r="18" spans="1:16">
      <c r="B18" s="1" t="s">
        <v>22</v>
      </c>
    </row>
    <row r="19" spans="1:16">
      <c r="B19" s="1" t="s">
        <v>23</v>
      </c>
    </row>
    <row r="21" spans="1:16" ht="14">
      <c r="A21" s="4" t="s">
        <v>24</v>
      </c>
      <c r="B21" s="5"/>
    </row>
    <row r="22" spans="1:16">
      <c r="A22" s="1" t="s">
        <v>25</v>
      </c>
      <c r="B22" s="1">
        <v>29.8</v>
      </c>
    </row>
    <row r="24" spans="1:16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6" ht="14">
      <c r="B25" s="7" t="s">
        <v>26</v>
      </c>
      <c r="C25" s="8">
        <v>9.7000000000000003E-2</v>
      </c>
      <c r="D25" s="8">
        <v>9.6000000000000002E-2</v>
      </c>
      <c r="E25" s="8">
        <v>9.6000000000000002E-2</v>
      </c>
      <c r="F25" s="8">
        <v>9.6000000000000002E-2</v>
      </c>
      <c r="G25" s="8">
        <v>9.6000000000000002E-2</v>
      </c>
      <c r="H25" s="8">
        <v>9.6000000000000002E-2</v>
      </c>
      <c r="I25" s="8">
        <v>0.104</v>
      </c>
      <c r="J25" s="8">
        <v>9.8000000000000004E-2</v>
      </c>
      <c r="K25" s="8">
        <v>9.8000000000000004E-2</v>
      </c>
      <c r="L25" s="8">
        <v>9.6000000000000002E-2</v>
      </c>
      <c r="M25" s="8">
        <v>9.5000000000000001E-2</v>
      </c>
      <c r="N25" s="8">
        <v>9.6000000000000002E-2</v>
      </c>
      <c r="O25" s="9">
        <v>600</v>
      </c>
      <c r="P25" s="1">
        <f>AVERAGE(C25:N25)</f>
        <v>9.6999999999999989E-2</v>
      </c>
    </row>
    <row r="26" spans="1:16" ht="14">
      <c r="B26" s="7" t="s">
        <v>27</v>
      </c>
      <c r="C26" s="10">
        <v>1.3120000000000001</v>
      </c>
      <c r="D26" s="11">
        <v>1.4</v>
      </c>
      <c r="E26" s="10">
        <v>1.3620000000000001</v>
      </c>
      <c r="F26" s="11">
        <v>1.4079999999999999</v>
      </c>
      <c r="G26" s="10">
        <v>1.381</v>
      </c>
      <c r="H26" s="11">
        <v>1.387</v>
      </c>
      <c r="I26" s="11">
        <v>1.47</v>
      </c>
      <c r="J26" s="11">
        <v>1.4019999999999999</v>
      </c>
      <c r="K26" s="11">
        <v>1.409</v>
      </c>
      <c r="L26" s="11">
        <v>1.4430000000000001</v>
      </c>
      <c r="M26" s="11">
        <v>1.446</v>
      </c>
      <c r="N26" s="11">
        <v>1.4339999999999999</v>
      </c>
      <c r="O26" s="9">
        <v>600</v>
      </c>
    </row>
    <row r="27" spans="1:16" ht="14">
      <c r="B27" s="7" t="s">
        <v>28</v>
      </c>
      <c r="C27" s="13">
        <v>1.123</v>
      </c>
      <c r="D27" s="13">
        <v>1.1279999999999999</v>
      </c>
      <c r="E27" s="11">
        <v>1.391</v>
      </c>
      <c r="F27" s="11">
        <v>1.4379999999999999</v>
      </c>
      <c r="G27" s="13">
        <v>1.1379999999999999</v>
      </c>
      <c r="H27" s="11">
        <v>1.427</v>
      </c>
      <c r="I27" s="11">
        <v>1.484</v>
      </c>
      <c r="J27" s="11">
        <v>1.425</v>
      </c>
      <c r="K27" s="11">
        <v>1.401</v>
      </c>
      <c r="L27" s="11">
        <v>1.399</v>
      </c>
      <c r="M27" s="11">
        <v>1.395</v>
      </c>
      <c r="N27" s="11">
        <v>1.3859999999999999</v>
      </c>
      <c r="O27" s="9">
        <v>600</v>
      </c>
    </row>
    <row r="28" spans="1:16" ht="14">
      <c r="B28" s="7" t="s">
        <v>29</v>
      </c>
      <c r="C28" s="14">
        <v>0.38600000000000001</v>
      </c>
      <c r="D28" s="16">
        <v>0.46800000000000003</v>
      </c>
      <c r="E28" s="16">
        <v>0.48399999999999999</v>
      </c>
      <c r="F28" s="11">
        <v>1.4370000000000001</v>
      </c>
      <c r="G28" s="14">
        <v>0.34300000000000003</v>
      </c>
      <c r="H28" s="11">
        <v>1.401</v>
      </c>
      <c r="I28" s="11">
        <v>1.4379999999999999</v>
      </c>
      <c r="J28" s="21">
        <v>1.044</v>
      </c>
      <c r="K28" s="11">
        <v>1.4219999999999999</v>
      </c>
      <c r="L28" s="11">
        <v>1.397</v>
      </c>
      <c r="M28" s="11">
        <v>1.4039999999999999</v>
      </c>
      <c r="N28" s="11">
        <v>1.44</v>
      </c>
      <c r="O28" s="9">
        <v>600</v>
      </c>
    </row>
    <row r="29" spans="1:16" ht="14">
      <c r="B29" s="7" t="s">
        <v>30</v>
      </c>
      <c r="C29" s="18">
        <v>0.224</v>
      </c>
      <c r="D29" s="18">
        <v>0.249</v>
      </c>
      <c r="E29" s="18">
        <v>0.23200000000000001</v>
      </c>
      <c r="F29" s="10">
        <v>1.383</v>
      </c>
      <c r="G29" s="18">
        <v>0.215</v>
      </c>
      <c r="H29" s="16">
        <v>0.39900000000000002</v>
      </c>
      <c r="I29" s="16">
        <v>0.41399999999999998</v>
      </c>
      <c r="J29" s="14">
        <v>0.36199999999999999</v>
      </c>
      <c r="K29" s="11">
        <v>1.419</v>
      </c>
      <c r="L29" s="14">
        <v>0.372</v>
      </c>
      <c r="M29" s="14">
        <v>0.33500000000000002</v>
      </c>
      <c r="N29" s="11">
        <v>1.401</v>
      </c>
      <c r="O29" s="9">
        <v>600</v>
      </c>
    </row>
    <row r="30" spans="1:16" ht="14">
      <c r="B30" s="7" t="s">
        <v>31</v>
      </c>
      <c r="C30" s="8">
        <v>0.14899999999999999</v>
      </c>
      <c r="D30" s="18">
        <v>0.19900000000000001</v>
      </c>
      <c r="E30" s="8">
        <v>0.17499999999999999</v>
      </c>
      <c r="F30" s="16">
        <v>0.48499999999999999</v>
      </c>
      <c r="G30" s="8">
        <v>0.17399999999999999</v>
      </c>
      <c r="H30" s="18">
        <v>0.20100000000000001</v>
      </c>
      <c r="I30" s="18">
        <v>0.23200000000000001</v>
      </c>
      <c r="J30" s="18">
        <v>0.25800000000000001</v>
      </c>
      <c r="K30" s="21">
        <v>1.0820000000000001</v>
      </c>
      <c r="L30" s="18">
        <v>0.20599999999999999</v>
      </c>
      <c r="M30" s="8">
        <v>0.16500000000000001</v>
      </c>
      <c r="N30" s="21">
        <v>1.0580000000000001</v>
      </c>
      <c r="O30" s="9">
        <v>600</v>
      </c>
    </row>
    <row r="31" spans="1:16" ht="14">
      <c r="B31" s="7" t="s">
        <v>32</v>
      </c>
      <c r="C31" s="8">
        <v>0.14199999999999999</v>
      </c>
      <c r="D31" s="8">
        <v>0.17799999999999999</v>
      </c>
      <c r="E31" s="8">
        <v>0.14599999999999999</v>
      </c>
      <c r="F31" s="8">
        <v>0.17899999999999999</v>
      </c>
      <c r="G31" s="8">
        <v>0.14899999999999999</v>
      </c>
      <c r="H31" s="8">
        <v>0.16800000000000001</v>
      </c>
      <c r="I31" s="18">
        <v>0.223</v>
      </c>
      <c r="J31" s="18">
        <v>0.22800000000000001</v>
      </c>
      <c r="K31" s="18">
        <v>0.22800000000000001</v>
      </c>
      <c r="L31" s="8">
        <v>0.182</v>
      </c>
      <c r="M31" s="8">
        <v>0.14099999999999999</v>
      </c>
      <c r="N31" s="18">
        <v>0.19900000000000001</v>
      </c>
      <c r="O31" s="9">
        <v>600</v>
      </c>
    </row>
    <row r="32" spans="1:16" ht="14">
      <c r="B32" s="7" t="s">
        <v>33</v>
      </c>
      <c r="C32" s="8">
        <v>0.129</v>
      </c>
      <c r="D32" s="8">
        <v>0.17699999999999999</v>
      </c>
      <c r="E32" s="8">
        <v>0.13500000000000001</v>
      </c>
      <c r="F32" s="8">
        <v>0.14099999999999999</v>
      </c>
      <c r="G32" s="8">
        <v>0.13400000000000001</v>
      </c>
      <c r="H32" s="8">
        <v>0.14899999999999999</v>
      </c>
      <c r="I32" s="18">
        <v>0.215</v>
      </c>
      <c r="J32" s="18">
        <v>0.22</v>
      </c>
      <c r="K32" s="8">
        <v>0.153</v>
      </c>
      <c r="L32" s="8">
        <v>0.17499999999999999</v>
      </c>
      <c r="M32" s="8">
        <v>0.13300000000000001</v>
      </c>
      <c r="N32" s="8">
        <v>0.14299999999999999</v>
      </c>
      <c r="O32" s="9">
        <v>600</v>
      </c>
    </row>
    <row r="35" spans="3:14">
      <c r="C35" s="1">
        <f>C26-$P$25</f>
        <v>1.2150000000000001</v>
      </c>
      <c r="D35" s="1">
        <f t="shared" ref="D35:N35" si="0">D26-$P$25</f>
        <v>1.3029999999999999</v>
      </c>
      <c r="E35" s="1">
        <f t="shared" si="0"/>
        <v>1.2650000000000001</v>
      </c>
      <c r="F35" s="1">
        <f t="shared" si="0"/>
        <v>1.3109999999999999</v>
      </c>
      <c r="G35" s="1">
        <f t="shared" si="0"/>
        <v>1.284</v>
      </c>
      <c r="H35" s="1">
        <f t="shared" si="0"/>
        <v>1.29</v>
      </c>
      <c r="I35" s="1">
        <f t="shared" si="0"/>
        <v>1.373</v>
      </c>
      <c r="J35" s="1">
        <f t="shared" si="0"/>
        <v>1.3049999999999999</v>
      </c>
      <c r="K35" s="1">
        <f t="shared" si="0"/>
        <v>1.3120000000000001</v>
      </c>
      <c r="L35" s="1">
        <f t="shared" si="0"/>
        <v>1.3460000000000001</v>
      </c>
      <c r="M35" s="1">
        <f t="shared" si="0"/>
        <v>1.349</v>
      </c>
      <c r="N35" s="1">
        <f t="shared" si="0"/>
        <v>1.337</v>
      </c>
    </row>
    <row r="36" spans="3:14">
      <c r="C36" s="1">
        <f t="shared" ref="C36:N41" si="1">C27-$P$25</f>
        <v>1.026</v>
      </c>
      <c r="D36" s="1">
        <f t="shared" si="1"/>
        <v>1.0309999999999999</v>
      </c>
      <c r="E36" s="1">
        <f t="shared" si="1"/>
        <v>1.294</v>
      </c>
      <c r="F36" s="1">
        <f t="shared" si="1"/>
        <v>1.341</v>
      </c>
      <c r="G36" s="1">
        <f t="shared" si="1"/>
        <v>1.0409999999999999</v>
      </c>
      <c r="H36" s="1">
        <f t="shared" si="1"/>
        <v>1.33</v>
      </c>
      <c r="I36" s="1">
        <f t="shared" si="1"/>
        <v>1.387</v>
      </c>
      <c r="J36" s="1">
        <f t="shared" si="1"/>
        <v>1.3280000000000001</v>
      </c>
      <c r="K36" s="1">
        <f t="shared" si="1"/>
        <v>1.304</v>
      </c>
      <c r="L36" s="1">
        <f t="shared" si="1"/>
        <v>1.302</v>
      </c>
      <c r="M36" s="1">
        <f t="shared" si="1"/>
        <v>1.298</v>
      </c>
      <c r="N36" s="1">
        <f t="shared" si="1"/>
        <v>1.2889999999999999</v>
      </c>
    </row>
    <row r="37" spans="3:14">
      <c r="C37" s="1">
        <f t="shared" si="1"/>
        <v>0.28900000000000003</v>
      </c>
      <c r="D37" s="1">
        <f t="shared" si="1"/>
        <v>0.37100000000000005</v>
      </c>
      <c r="E37" s="1">
        <f t="shared" si="1"/>
        <v>0.38700000000000001</v>
      </c>
      <c r="F37" s="1">
        <f t="shared" si="1"/>
        <v>1.34</v>
      </c>
      <c r="G37" s="1">
        <f t="shared" si="1"/>
        <v>0.24600000000000005</v>
      </c>
      <c r="H37" s="1">
        <f t="shared" si="1"/>
        <v>1.304</v>
      </c>
      <c r="I37" s="1">
        <f t="shared" si="1"/>
        <v>1.341</v>
      </c>
      <c r="J37" s="1">
        <f t="shared" si="1"/>
        <v>0.94700000000000006</v>
      </c>
      <c r="K37" s="1">
        <f t="shared" si="1"/>
        <v>1.325</v>
      </c>
      <c r="L37" s="1">
        <f t="shared" si="1"/>
        <v>1.3</v>
      </c>
      <c r="M37" s="1">
        <f t="shared" si="1"/>
        <v>1.3069999999999999</v>
      </c>
      <c r="N37" s="1">
        <f t="shared" si="1"/>
        <v>1.343</v>
      </c>
    </row>
    <row r="38" spans="3:14">
      <c r="C38" s="1">
        <f t="shared" si="1"/>
        <v>0.127</v>
      </c>
      <c r="D38" s="1">
        <f t="shared" si="1"/>
        <v>0.15200000000000002</v>
      </c>
      <c r="E38" s="1">
        <f t="shared" si="1"/>
        <v>0.13500000000000001</v>
      </c>
      <c r="F38" s="1">
        <f t="shared" si="1"/>
        <v>1.286</v>
      </c>
      <c r="G38" s="1">
        <f t="shared" si="1"/>
        <v>0.11800000000000001</v>
      </c>
      <c r="H38" s="1">
        <f t="shared" si="1"/>
        <v>0.30200000000000005</v>
      </c>
      <c r="I38" s="1">
        <f t="shared" si="1"/>
        <v>0.317</v>
      </c>
      <c r="J38" s="1">
        <f t="shared" si="1"/>
        <v>0.26500000000000001</v>
      </c>
      <c r="K38" s="1">
        <f t="shared" si="1"/>
        <v>1.3220000000000001</v>
      </c>
      <c r="L38" s="1">
        <f t="shared" si="1"/>
        <v>0.27500000000000002</v>
      </c>
      <c r="M38" s="1">
        <f t="shared" si="1"/>
        <v>0.23800000000000004</v>
      </c>
      <c r="N38" s="1">
        <f t="shared" si="1"/>
        <v>1.304</v>
      </c>
    </row>
    <row r="39" spans="3:14">
      <c r="C39" s="1">
        <f t="shared" si="1"/>
        <v>5.2000000000000005E-2</v>
      </c>
      <c r="D39" s="1">
        <f t="shared" si="1"/>
        <v>0.10200000000000002</v>
      </c>
      <c r="E39" s="1">
        <f t="shared" si="1"/>
        <v>7.8E-2</v>
      </c>
      <c r="F39" s="1">
        <f t="shared" si="1"/>
        <v>0.38800000000000001</v>
      </c>
      <c r="G39" s="1">
        <f t="shared" si="1"/>
        <v>7.6999999999999999E-2</v>
      </c>
      <c r="H39" s="1">
        <f t="shared" si="1"/>
        <v>0.10400000000000002</v>
      </c>
      <c r="I39" s="1">
        <f t="shared" si="1"/>
        <v>0.13500000000000001</v>
      </c>
      <c r="J39" s="1">
        <f t="shared" si="1"/>
        <v>0.16100000000000003</v>
      </c>
      <c r="K39" s="1">
        <f t="shared" si="1"/>
        <v>0.9850000000000001</v>
      </c>
      <c r="L39" s="1">
        <f t="shared" si="1"/>
        <v>0.109</v>
      </c>
      <c r="M39" s="1">
        <f t="shared" si="1"/>
        <v>6.8000000000000019E-2</v>
      </c>
      <c r="N39" s="1">
        <f t="shared" si="1"/>
        <v>0.96100000000000008</v>
      </c>
    </row>
    <row r="40" spans="3:14">
      <c r="C40" s="1">
        <f t="shared" si="1"/>
        <v>4.4999999999999998E-2</v>
      </c>
      <c r="D40" s="1">
        <f t="shared" si="1"/>
        <v>8.1000000000000003E-2</v>
      </c>
      <c r="E40" s="1">
        <f t="shared" si="1"/>
        <v>4.9000000000000002E-2</v>
      </c>
      <c r="F40" s="1">
        <f t="shared" si="1"/>
        <v>8.2000000000000003E-2</v>
      </c>
      <c r="G40" s="1">
        <f t="shared" si="1"/>
        <v>5.2000000000000005E-2</v>
      </c>
      <c r="H40" s="1">
        <f t="shared" si="1"/>
        <v>7.1000000000000021E-2</v>
      </c>
      <c r="I40" s="1">
        <f t="shared" si="1"/>
        <v>0.126</v>
      </c>
      <c r="J40" s="1">
        <f t="shared" si="1"/>
        <v>0.13100000000000001</v>
      </c>
      <c r="K40" s="1">
        <f t="shared" si="1"/>
        <v>0.13100000000000001</v>
      </c>
      <c r="L40" s="1">
        <f t="shared" si="1"/>
        <v>8.5000000000000006E-2</v>
      </c>
      <c r="M40" s="1">
        <f t="shared" si="1"/>
        <v>4.3999999999999997E-2</v>
      </c>
      <c r="N40" s="1">
        <f t="shared" si="1"/>
        <v>0.10200000000000002</v>
      </c>
    </row>
    <row r="41" spans="3:14">
      <c r="C41" s="1">
        <f t="shared" si="1"/>
        <v>3.2000000000000015E-2</v>
      </c>
      <c r="D41" s="1">
        <f t="shared" si="1"/>
        <v>0.08</v>
      </c>
      <c r="E41" s="1">
        <f t="shared" si="1"/>
        <v>3.800000000000002E-2</v>
      </c>
      <c r="F41" s="1">
        <f t="shared" si="1"/>
        <v>4.3999999999999997E-2</v>
      </c>
      <c r="G41" s="1">
        <f t="shared" si="1"/>
        <v>3.7000000000000019E-2</v>
      </c>
      <c r="H41" s="1">
        <f t="shared" si="1"/>
        <v>5.2000000000000005E-2</v>
      </c>
      <c r="I41" s="1">
        <f t="shared" si="1"/>
        <v>0.11800000000000001</v>
      </c>
      <c r="J41" s="1">
        <f t="shared" si="1"/>
        <v>0.12300000000000001</v>
      </c>
      <c r="K41" s="1">
        <f t="shared" si="1"/>
        <v>5.6000000000000008E-2</v>
      </c>
      <c r="L41" s="1">
        <f t="shared" si="1"/>
        <v>7.8E-2</v>
      </c>
      <c r="M41" s="1">
        <f t="shared" si="1"/>
        <v>3.6000000000000018E-2</v>
      </c>
      <c r="N41" s="1">
        <f t="shared" si="1"/>
        <v>4.5999999999999999E-2</v>
      </c>
    </row>
    <row r="43" spans="3:14">
      <c r="C43" s="1">
        <f>C35/$C$35</f>
        <v>1</v>
      </c>
      <c r="D43" s="1">
        <f>D35/$D$35</f>
        <v>1</v>
      </c>
      <c r="E43" s="1">
        <f>E35/$E$35</f>
        <v>1</v>
      </c>
      <c r="F43" s="1">
        <f>F35/$F$35</f>
        <v>1</v>
      </c>
      <c r="G43" s="1">
        <f>G35/$G$35</f>
        <v>1</v>
      </c>
      <c r="H43" s="1">
        <f>H35/$H$35</f>
        <v>1</v>
      </c>
      <c r="I43" s="1">
        <f>I35/$I$35</f>
        <v>1</v>
      </c>
      <c r="J43" s="1">
        <f>J35/$J$35</f>
        <v>1</v>
      </c>
      <c r="K43" s="1">
        <f>K35/$K$35</f>
        <v>1</v>
      </c>
      <c r="L43" s="1">
        <f>L35/$L$35</f>
        <v>1</v>
      </c>
      <c r="M43" s="1">
        <f>M35/$M$35</f>
        <v>1</v>
      </c>
      <c r="N43" s="1">
        <f>N35/$N$35</f>
        <v>1</v>
      </c>
    </row>
    <row r="44" spans="3:14">
      <c r="C44" s="1">
        <f t="shared" ref="C44:C49" si="2">C36/$C$35</f>
        <v>0.84444444444444444</v>
      </c>
      <c r="D44" s="1">
        <f t="shared" ref="D44:D49" si="3">D36/$D$35</f>
        <v>0.79125095932463541</v>
      </c>
      <c r="E44" s="1">
        <f t="shared" ref="E44:E49" si="4">E36/$E$35</f>
        <v>1.0229249011857706</v>
      </c>
      <c r="F44" s="1">
        <f t="shared" ref="F44:F49" si="5">F36/$F$35</f>
        <v>1.0228832951945079</v>
      </c>
      <c r="G44" s="1">
        <f t="shared" ref="G44:G49" si="6">G36/$G$35</f>
        <v>0.81074766355140182</v>
      </c>
      <c r="H44" s="1">
        <f t="shared" ref="H44:H49" si="7">H36/$H$35</f>
        <v>1.0310077519379846</v>
      </c>
      <c r="I44" s="1">
        <f t="shared" ref="I44:I49" si="8">I36/$I$35</f>
        <v>1.0101966496722505</v>
      </c>
      <c r="J44" s="1">
        <f t="shared" ref="J44:J49" si="9">J36/$J$35</f>
        <v>1.017624521072797</v>
      </c>
      <c r="K44" s="1">
        <f t="shared" ref="K44:K49" si="10">K36/$K$35</f>
        <v>0.99390243902439024</v>
      </c>
      <c r="L44" s="1">
        <f t="shared" ref="L44:L49" si="11">L36/$L$35</f>
        <v>0.96731054977711739</v>
      </c>
      <c r="M44" s="1">
        <f t="shared" ref="M44:M49" si="12">M36/$M$35</f>
        <v>0.96219421793921434</v>
      </c>
      <c r="N44" s="1">
        <f t="shared" ref="N44:N49" si="13">N36/$N$35</f>
        <v>0.96409872849663425</v>
      </c>
    </row>
    <row r="45" spans="3:14">
      <c r="C45" s="1">
        <f t="shared" si="2"/>
        <v>0.23786008230452677</v>
      </c>
      <c r="D45" s="1">
        <f t="shared" si="3"/>
        <v>0.28472755180353038</v>
      </c>
      <c r="E45" s="1">
        <f t="shared" si="4"/>
        <v>0.30592885375494067</v>
      </c>
      <c r="F45" s="1">
        <f t="shared" si="5"/>
        <v>1.0221205186880244</v>
      </c>
      <c r="G45" s="1">
        <f t="shared" si="6"/>
        <v>0.19158878504672902</v>
      </c>
      <c r="H45" s="1">
        <f t="shared" si="7"/>
        <v>1.0108527131782945</v>
      </c>
      <c r="I45" s="1">
        <f t="shared" si="8"/>
        <v>0.97669337217771302</v>
      </c>
      <c r="J45" s="1">
        <f t="shared" si="9"/>
        <v>0.72567049808429129</v>
      </c>
      <c r="K45" s="1">
        <f t="shared" si="10"/>
        <v>1.0099085365853657</v>
      </c>
      <c r="L45" s="1">
        <f t="shared" si="11"/>
        <v>0.96582466567607728</v>
      </c>
      <c r="M45" s="1">
        <f t="shared" si="12"/>
        <v>0.96886582653817643</v>
      </c>
      <c r="N45" s="1">
        <f t="shared" si="13"/>
        <v>1.0044876589379208</v>
      </c>
    </row>
    <row r="46" spans="3:14">
      <c r="C46" s="1">
        <f t="shared" si="2"/>
        <v>0.10452674897119341</v>
      </c>
      <c r="D46" s="1">
        <f t="shared" si="3"/>
        <v>0.11665387567152727</v>
      </c>
      <c r="E46" s="1">
        <f t="shared" si="4"/>
        <v>0.1067193675889328</v>
      </c>
      <c r="F46" s="1">
        <f t="shared" si="5"/>
        <v>0.98093058733791005</v>
      </c>
      <c r="G46" s="1">
        <f t="shared" si="6"/>
        <v>9.1900311526479761E-2</v>
      </c>
      <c r="H46" s="1">
        <f t="shared" si="7"/>
        <v>0.23410852713178298</v>
      </c>
      <c r="I46" s="1">
        <f t="shared" si="8"/>
        <v>0.23088128186453022</v>
      </c>
      <c r="J46" s="1">
        <f t="shared" si="9"/>
        <v>0.20306513409961688</v>
      </c>
      <c r="K46" s="1">
        <f t="shared" si="10"/>
        <v>1.0076219512195121</v>
      </c>
      <c r="L46" s="1">
        <f t="shared" si="11"/>
        <v>0.20430906389301634</v>
      </c>
      <c r="M46" s="1">
        <f t="shared" si="12"/>
        <v>0.17642698295033363</v>
      </c>
      <c r="N46" s="1">
        <f t="shared" si="13"/>
        <v>0.97531787584143614</v>
      </c>
    </row>
    <row r="47" spans="3:14">
      <c r="C47" s="1">
        <f t="shared" si="2"/>
        <v>4.2798353909465021E-2</v>
      </c>
      <c r="D47" s="1">
        <f t="shared" si="3"/>
        <v>7.8280890253261723E-2</v>
      </c>
      <c r="E47" s="1">
        <f t="shared" si="4"/>
        <v>6.166007905138339E-2</v>
      </c>
      <c r="F47" s="1">
        <f t="shared" si="5"/>
        <v>0.29595728451563696</v>
      </c>
      <c r="G47" s="1">
        <f t="shared" si="6"/>
        <v>5.9968847352024922E-2</v>
      </c>
      <c r="H47" s="1">
        <f t="shared" si="7"/>
        <v>8.0620155038759703E-2</v>
      </c>
      <c r="I47" s="1">
        <f t="shared" si="8"/>
        <v>9.8324836125273138E-2</v>
      </c>
      <c r="J47" s="1">
        <f t="shared" si="9"/>
        <v>0.12337164750957857</v>
      </c>
      <c r="K47" s="1">
        <f t="shared" si="10"/>
        <v>0.7507621951219513</v>
      </c>
      <c r="L47" s="1">
        <f t="shared" si="11"/>
        <v>8.0980683506686468E-2</v>
      </c>
      <c r="M47" s="1">
        <f t="shared" si="12"/>
        <v>5.0407709414381038E-2</v>
      </c>
      <c r="N47" s="1">
        <f t="shared" si="13"/>
        <v>0.7187733732236351</v>
      </c>
    </row>
    <row r="48" spans="3:14">
      <c r="C48" s="1">
        <f t="shared" si="2"/>
        <v>3.7037037037037035E-2</v>
      </c>
      <c r="D48" s="1">
        <f t="shared" si="3"/>
        <v>6.2164236377590179E-2</v>
      </c>
      <c r="E48" s="1">
        <f t="shared" si="4"/>
        <v>3.8735177865612647E-2</v>
      </c>
      <c r="F48" s="1">
        <f t="shared" si="5"/>
        <v>6.2547673531655232E-2</v>
      </c>
      <c r="G48" s="1">
        <f t="shared" si="6"/>
        <v>4.0498442367601251E-2</v>
      </c>
      <c r="H48" s="1">
        <f t="shared" si="7"/>
        <v>5.5038759689922494E-2</v>
      </c>
      <c r="I48" s="1">
        <f t="shared" si="8"/>
        <v>9.1769847050254913E-2</v>
      </c>
      <c r="J48" s="1">
        <f t="shared" si="9"/>
        <v>0.10038314176245211</v>
      </c>
      <c r="K48" s="1">
        <f t="shared" si="10"/>
        <v>9.9847560975609762E-2</v>
      </c>
      <c r="L48" s="1">
        <f t="shared" si="11"/>
        <v>6.315007429420505E-2</v>
      </c>
      <c r="M48" s="1">
        <f t="shared" si="12"/>
        <v>3.2616753150481834E-2</v>
      </c>
      <c r="N48" s="1">
        <f t="shared" si="13"/>
        <v>7.6290201944652219E-2</v>
      </c>
    </row>
    <row r="49" spans="2:35">
      <c r="C49" s="1">
        <f t="shared" si="2"/>
        <v>2.6337448559670792E-2</v>
      </c>
      <c r="D49" s="1">
        <f t="shared" si="3"/>
        <v>6.139677666922487E-2</v>
      </c>
      <c r="E49" s="1">
        <f t="shared" si="4"/>
        <v>3.0039525691699619E-2</v>
      </c>
      <c r="F49" s="1">
        <f t="shared" si="5"/>
        <v>3.3562166285278416E-2</v>
      </c>
      <c r="G49" s="1">
        <f t="shared" si="6"/>
        <v>2.8816199376947054E-2</v>
      </c>
      <c r="H49" s="1">
        <f t="shared" si="7"/>
        <v>4.0310077519379844E-2</v>
      </c>
      <c r="I49" s="1">
        <f t="shared" si="8"/>
        <v>8.5943190094683181E-2</v>
      </c>
      <c r="J49" s="1">
        <f t="shared" si="9"/>
        <v>9.4252873563218403E-2</v>
      </c>
      <c r="K49" s="1">
        <f t="shared" si="10"/>
        <v>4.2682926829268296E-2</v>
      </c>
      <c r="L49" s="1">
        <f t="shared" si="11"/>
        <v>5.7949479940564631E-2</v>
      </c>
      <c r="M49" s="1">
        <f t="shared" si="12"/>
        <v>2.668643439584879E-2</v>
      </c>
      <c r="N49" s="1">
        <f t="shared" si="13"/>
        <v>3.4405385190725508E-2</v>
      </c>
    </row>
    <row r="51" spans="2:35">
      <c r="C51" s="1">
        <f>AVERAGE(C43,guide2Rep2!C43,guide2Rep1!C43)</f>
        <v>1</v>
      </c>
      <c r="D51" s="1">
        <f>AVERAGE(D43,guide2Rep2!D43,guide2Rep1!D43)</f>
        <v>1</v>
      </c>
      <c r="E51" s="1">
        <f>AVERAGE(E43,guide2Rep2!E43,guide2Rep1!E43)</f>
        <v>1</v>
      </c>
      <c r="F51" s="1">
        <f>AVERAGE(F43,guide2Rep2!F43,guide2Rep1!F43)</f>
        <v>1</v>
      </c>
      <c r="G51" s="1">
        <f>AVERAGE(G43,guide2Rep2!G43,guide2Rep1!G43)</f>
        <v>1</v>
      </c>
      <c r="H51" s="1">
        <f>AVERAGE(H43,guide2Rep2!H43,guide2Rep1!H43)</f>
        <v>1</v>
      </c>
      <c r="I51" s="1">
        <f>AVERAGE(I43,guide2Rep2!I43,guide2Rep1!I43)</f>
        <v>1</v>
      </c>
      <c r="J51" s="1">
        <f>AVERAGE(J43,guide2Rep2!J43,guide2Rep1!J43)</f>
        <v>1</v>
      </c>
      <c r="K51" s="1">
        <f>AVERAGE(K43,guide2Rep2!K43,guide2Rep1!K43)</f>
        <v>1</v>
      </c>
      <c r="L51" s="1">
        <f>AVERAGE(L43,guide2Rep2!L43,guide2Rep1!L43)</f>
        <v>1</v>
      </c>
      <c r="M51" s="1">
        <f>AVERAGE(M43,guide2Rep2!M43,guide2Rep1!M43)</f>
        <v>1</v>
      </c>
      <c r="N51" s="1">
        <f>AVERAGE(N43,guide2Rep2!N43,guide2Rep1!N43)</f>
        <v>1</v>
      </c>
    </row>
    <row r="52" spans="2:35">
      <c r="C52" s="1">
        <f>AVERAGE(C44,guide2Rep2!C44,guide2Rep1!C44)</f>
        <v>0.87992783627056947</v>
      </c>
      <c r="D52" s="1">
        <f>AVERAGE(D44,guide2Rep2!D44,guide2Rep1!D44)</f>
        <v>0.76653766774302767</v>
      </c>
      <c r="E52" s="1">
        <f>AVERAGE(E44,guide2Rep2!E44,guide2Rep1!E44)</f>
        <v>0.99838839235959442</v>
      </c>
      <c r="F52" s="1">
        <f>AVERAGE(F44,guide2Rep2!F44,guide2Rep1!F44)</f>
        <v>1.0150684321591272</v>
      </c>
      <c r="G52" s="1">
        <f>AVERAGE(G44,guide2Rep2!G44,guide2Rep1!G44)</f>
        <v>0.81150652612233465</v>
      </c>
      <c r="H52" s="1">
        <f>AVERAGE(H44,guide2Rep2!H44,guide2Rep1!H44)</f>
        <v>1.0232233107468292</v>
      </c>
      <c r="I52" s="1">
        <f>AVERAGE(I44,guide2Rep2!I44,guide2Rep1!I44)</f>
        <v>1.0104335750341003</v>
      </c>
      <c r="J52" s="1">
        <f>AVERAGE(J44,guide2Rep2!J44,guide2Rep1!J44)</f>
        <v>1.0123311219297417</v>
      </c>
      <c r="K52" s="1">
        <f>AVERAGE(K44,guide2Rep2!K44,guide2Rep1!K44)</f>
        <v>0.99714223790306422</v>
      </c>
      <c r="L52" s="1">
        <f>AVERAGE(L44,guide2Rep2!L44,guide2Rep1!L44)</f>
        <v>0.99006923024307925</v>
      </c>
      <c r="M52" s="1">
        <f>AVERAGE(M44,guide2Rep2!M44,guide2Rep1!M44)</f>
        <v>0.99216570632935375</v>
      </c>
      <c r="N52" s="1">
        <f>AVERAGE(N44,guide2Rep2!N44,guide2Rep1!N44)</f>
        <v>0.98542966339258686</v>
      </c>
    </row>
    <row r="53" spans="2:35">
      <c r="C53" s="1">
        <f>AVERAGE(C45,guide2Rep2!C45,guide2Rep1!C45)</f>
        <v>0.21547069472163796</v>
      </c>
      <c r="D53" s="1">
        <f>AVERAGE(D45,guide2Rep2!D45,guide2Rep1!D45)</f>
        <v>0.27165097513532316</v>
      </c>
      <c r="E53" s="1">
        <f>AVERAGE(E45,guide2Rep2!E45,guide2Rep1!E45)</f>
        <v>0.30834003838209906</v>
      </c>
      <c r="F53" s="1">
        <f>AVERAGE(F45,guide2Rep2!F45,guide2Rep1!F45)</f>
        <v>1.0299256244601196</v>
      </c>
      <c r="G53" s="1">
        <f>AVERAGE(G45,guide2Rep2!G45,guide2Rep1!G45)</f>
        <v>0.20798060866421911</v>
      </c>
      <c r="H53" s="1">
        <f>AVERAGE(H45,guide2Rep2!H45,guide2Rep1!H45)</f>
        <v>1.0050570193589483</v>
      </c>
      <c r="I53" s="1">
        <f>AVERAGE(I45,guide2Rep2!I45,guide2Rep1!I45)</f>
        <v>0.99961974402783138</v>
      </c>
      <c r="J53" s="1">
        <f>AVERAGE(J45,guide2Rep2!J45,guide2Rep1!J45)</f>
        <v>0.73124817171967837</v>
      </c>
      <c r="K53" s="1">
        <f>AVERAGE(K45,guide2Rep2!K45,guide2Rep1!K45)</f>
        <v>1.0171602359295002</v>
      </c>
      <c r="L53" s="1">
        <f>AVERAGE(L45,guide2Rep2!L45,guide2Rep1!L45)</f>
        <v>0.97352090025326421</v>
      </c>
      <c r="M53" s="1">
        <f>AVERAGE(M45,guide2Rep2!M45,guide2Rep1!M45)</f>
        <v>0.97750888038365957</v>
      </c>
      <c r="N53" s="1">
        <f>AVERAGE(N45,guide2Rep2!N45,guide2Rep1!N45)</f>
        <v>1.0035965353321432</v>
      </c>
    </row>
    <row r="54" spans="2:35">
      <c r="C54" s="1">
        <f>AVERAGE(C46,guide2Rep2!C46,guide2Rep1!C46)</f>
        <v>0.11346405052961024</v>
      </c>
      <c r="D54" s="1">
        <f>AVERAGE(D46,guide2Rep2!D46,guide2Rep1!D46)</f>
        <v>0.1269560773707418</v>
      </c>
      <c r="E54" s="1">
        <f>AVERAGE(E46,guide2Rep2!E46,guide2Rep1!E46)</f>
        <v>0.14314932683165138</v>
      </c>
      <c r="F54" s="1">
        <f>AVERAGE(F46,guide2Rep2!F46,guide2Rep1!F46)</f>
        <v>1.0039072741447674</v>
      </c>
      <c r="G54" s="1">
        <f>AVERAGE(G46,guide2Rep2!G46,guide2Rep1!G46)</f>
        <v>0.11450950899606545</v>
      </c>
      <c r="H54" s="1">
        <f>AVERAGE(H46,guide2Rep2!H46,guide2Rep1!H46)</f>
        <v>0.23065307314859629</v>
      </c>
      <c r="I54" s="1">
        <f>AVERAGE(I46,guide2Rep2!I46,guide2Rep1!I46)</f>
        <v>0.22829319187731109</v>
      </c>
      <c r="J54" s="1">
        <f>AVERAGE(J46,guide2Rep2!J46,guide2Rep1!J46)</f>
        <v>0.19517134647387702</v>
      </c>
      <c r="K54" s="1">
        <f>AVERAGE(K46,guide2Rep2!K46,guide2Rep1!K46)</f>
        <v>1.0184237968606256</v>
      </c>
      <c r="L54" s="1">
        <f>AVERAGE(L46,guide2Rep2!L46,guide2Rep1!L46)</f>
        <v>0.19832740437590854</v>
      </c>
      <c r="M54" s="1">
        <f>AVERAGE(M46,guide2Rep2!M46,guide2Rep1!M46)</f>
        <v>0.16626399398697578</v>
      </c>
      <c r="N54" s="1">
        <f>AVERAGE(N46,guide2Rep2!N46,guide2Rep1!N46)</f>
        <v>0.99260697064036407</v>
      </c>
    </row>
    <row r="55" spans="2:35">
      <c r="C55" s="1">
        <f>AVERAGE(C47,guide2Rep2!C47,guide2Rep1!C47)</f>
        <v>4.6443629500738555E-2</v>
      </c>
      <c r="D55" s="1">
        <f>AVERAGE(D47,guide2Rep2!D47,guide2Rep1!D47)</f>
        <v>7.568830016959649E-2</v>
      </c>
      <c r="E55" s="1">
        <f>AVERAGE(E47,guide2Rep2!E47,guide2Rep1!E47)</f>
        <v>6.5838979346820994E-2</v>
      </c>
      <c r="F55" s="1">
        <f>AVERAGE(F47,guide2Rep2!F47,guide2Rep1!F47)</f>
        <v>0.29894908123127678</v>
      </c>
      <c r="G55" s="1">
        <f>AVERAGE(G47,guide2Rep2!G47,guide2Rep1!G47)</f>
        <v>6.4158809884149071E-2</v>
      </c>
      <c r="H55" s="1">
        <f>AVERAGE(H47,guide2Rep2!H47,guide2Rep1!H47)</f>
        <v>8.2862132486877918E-2</v>
      </c>
      <c r="I55" s="1">
        <f>AVERAGE(I47,guide2Rep2!I47,guide2Rep1!I47)</f>
        <v>0.10593902674992818</v>
      </c>
      <c r="J55" s="1">
        <f>AVERAGE(J47,guide2Rep2!J47,guide2Rep1!J47)</f>
        <v>0.12854727353898079</v>
      </c>
      <c r="K55" s="1">
        <f>AVERAGE(K47,guide2Rep2!K47,guide2Rep1!K47)</f>
        <v>0.76030858883926078</v>
      </c>
      <c r="L55" s="1">
        <f>AVERAGE(L47,guide2Rep2!L47,guide2Rep1!L47)</f>
        <v>8.0801579533300139E-2</v>
      </c>
      <c r="M55" s="1">
        <f>AVERAGE(M47,guide2Rep2!M47,guide2Rep1!M47)</f>
        <v>5.5682131935607955E-2</v>
      </c>
      <c r="N55" s="1">
        <f>AVERAGE(N47,guide2Rep2!N47,guide2Rep1!N47)</f>
        <v>0.75056788522124629</v>
      </c>
    </row>
    <row r="56" spans="2:35">
      <c r="C56" s="1">
        <f>AVERAGE(C48,guide2Rep2!C48,guide2Rep1!C48)</f>
        <v>3.4113135316568177E-2</v>
      </c>
      <c r="D56" s="1">
        <f>AVERAGE(D48,guide2Rep2!D48,guide2Rep1!D48)</f>
        <v>6.3418394149476073E-2</v>
      </c>
      <c r="E56" s="1">
        <f>AVERAGE(E48,guide2Rep2!E48,guide2Rep1!E48)</f>
        <v>4.8271385168763219E-2</v>
      </c>
      <c r="F56" s="1">
        <f>AVERAGE(F48,guide2Rep2!F48,guide2Rep1!F48)</f>
        <v>6.0395985219012745E-2</v>
      </c>
      <c r="G56" s="1">
        <f>AVERAGE(G48,guide2Rep2!G48,guide2Rep1!G48)</f>
        <v>4.8249727425104048E-2</v>
      </c>
      <c r="H56" s="1">
        <f>AVERAGE(H48,guide2Rep2!H48,guide2Rep1!H48)</f>
        <v>5.845703161382642E-2</v>
      </c>
      <c r="I56" s="1">
        <f>AVERAGE(I48,guide2Rep2!I48,guide2Rep1!I48)</f>
        <v>8.8415460394898296E-2</v>
      </c>
      <c r="J56" s="1">
        <f>AVERAGE(J48,guide2Rep2!J48,guide2Rep1!J48)</f>
        <v>0.10408688238889635</v>
      </c>
      <c r="K56" s="1">
        <f>AVERAGE(K48,guide2Rep2!K48,guide2Rep1!K48)</f>
        <v>9.5683464143238875E-2</v>
      </c>
      <c r="L56" s="1">
        <f>AVERAGE(L48,guide2Rep2!L48,guide2Rep1!L48)</f>
        <v>6.5017029323035033E-2</v>
      </c>
      <c r="M56" s="1">
        <f>AVERAGE(M48,guide2Rep2!M48,guide2Rep1!M48)</f>
        <v>3.4924352790376138E-2</v>
      </c>
      <c r="N56" s="1">
        <f>AVERAGE(N48,guide2Rep2!N48,guide2Rep1!N48)</f>
        <v>7.5525250692162968E-2</v>
      </c>
    </row>
    <row r="57" spans="2:35">
      <c r="C57" s="1">
        <f>AVERAGE(C49,guide2Rep2!C49,guide2Rep1!C49)</f>
        <v>2.5756011840248741E-2</v>
      </c>
      <c r="D57" s="1">
        <f>AVERAGE(D49,guide2Rep2!D49,guide2Rep1!D49)</f>
        <v>6.1191086141117706E-2</v>
      </c>
      <c r="E57" s="1">
        <f>AVERAGE(E49,guide2Rep2!E49,guide2Rep1!E49)</f>
        <v>3.6298004491499725E-2</v>
      </c>
      <c r="F57" s="1">
        <f>AVERAGE(F49,guide2Rep2!F49,guide2Rep1!F49)</f>
        <v>3.253208458843232E-2</v>
      </c>
      <c r="G57" s="1">
        <f>AVERAGE(G49,guide2Rep2!G49,guide2Rep1!G49)</f>
        <v>3.6947962402309756E-2</v>
      </c>
      <c r="H57" s="1">
        <f>AVERAGE(H49,guide2Rep2!H49,guide2Rep1!H49)</f>
        <v>4.8718498840653636E-2</v>
      </c>
      <c r="I57" s="1">
        <f>AVERAGE(I49,guide2Rep2!I49,guide2Rep1!I49)</f>
        <v>8.4161178186057853E-2</v>
      </c>
      <c r="J57" s="1">
        <f>AVERAGE(J49,guide2Rep2!J49,guide2Rep1!J49)</f>
        <v>9.9976257022551474E-2</v>
      </c>
      <c r="K57" s="1">
        <f>AVERAGE(K49,guide2Rep2!K49,guide2Rep1!K49)</f>
        <v>4.8529506235058882E-2</v>
      </c>
      <c r="L57" s="1">
        <f>AVERAGE(L49,guide2Rep2!L49,guide2Rep1!L49)</f>
        <v>6.0746875384663203E-2</v>
      </c>
      <c r="M57" s="1">
        <f>AVERAGE(M49,guide2Rep2!M49,guide2Rep1!M49)</f>
        <v>2.8885785989562384E-2</v>
      </c>
      <c r="N57" s="1">
        <f>AVERAGE(N49,guide2Rep2!N49,guide2Rep1!N49)</f>
        <v>3.476720064850055E-2</v>
      </c>
    </row>
    <row r="59" spans="2:35">
      <c r="C59" s="1" t="s">
        <v>40</v>
      </c>
      <c r="D59" s="1" t="s">
        <v>41</v>
      </c>
      <c r="E59" s="1" t="s">
        <v>42</v>
      </c>
      <c r="F59" s="1" t="s">
        <v>36</v>
      </c>
      <c r="G59" s="1" t="s">
        <v>43</v>
      </c>
      <c r="H59" s="1" t="s">
        <v>52</v>
      </c>
      <c r="I59" s="1" t="s">
        <v>53</v>
      </c>
      <c r="J59" s="1" t="s">
        <v>54</v>
      </c>
      <c r="K59" s="1" t="s">
        <v>55</v>
      </c>
      <c r="L59" s="1" t="s">
        <v>56</v>
      </c>
      <c r="M59" s="1" t="s">
        <v>57</v>
      </c>
      <c r="N59" s="1" t="s">
        <v>58</v>
      </c>
    </row>
    <row r="60" spans="2:35" ht="20" customHeight="1"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3"/>
      <c r="AA60" s="24"/>
      <c r="AB60" s="24"/>
      <c r="AC60" s="24"/>
      <c r="AD60" s="24"/>
      <c r="AE60" s="24"/>
      <c r="AF60" s="24"/>
      <c r="AG60" s="24"/>
      <c r="AH60" s="23"/>
      <c r="AI60" s="24"/>
    </row>
    <row r="61" spans="2:35" ht="20" customHeight="1">
      <c r="B61" s="1">
        <v>0.5</v>
      </c>
      <c r="C61" s="20">
        <v>0.87992783627056947</v>
      </c>
      <c r="D61" s="20">
        <v>0.76653766774302767</v>
      </c>
      <c r="E61" s="20">
        <v>0.99838839235959442</v>
      </c>
      <c r="F61" s="1">
        <v>1.0150684321591272</v>
      </c>
      <c r="G61" s="20">
        <v>0.81150652612233465</v>
      </c>
      <c r="H61" s="1">
        <v>1.0232233107468292</v>
      </c>
      <c r="I61" s="1">
        <v>1.0104335750341003</v>
      </c>
      <c r="J61" s="1">
        <v>1.0123311219297417</v>
      </c>
      <c r="K61" s="1">
        <v>0.99714223790306422</v>
      </c>
      <c r="L61" s="1">
        <v>0.99006923024307925</v>
      </c>
      <c r="M61" s="1">
        <v>0.99216570632935375</v>
      </c>
      <c r="N61" s="1">
        <v>0.98542966339258686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3"/>
      <c r="AA61" s="24"/>
      <c r="AB61" s="24"/>
      <c r="AC61" s="24"/>
      <c r="AD61" s="24"/>
      <c r="AE61" s="24"/>
      <c r="AF61" s="24"/>
      <c r="AG61" s="24"/>
      <c r="AH61" s="23"/>
      <c r="AI61" s="24"/>
    </row>
    <row r="62" spans="2:35" ht="20" customHeight="1">
      <c r="B62" s="1">
        <v>1</v>
      </c>
      <c r="C62" s="1">
        <v>0.21547069472163796</v>
      </c>
      <c r="D62" s="1">
        <v>0.27165097513532316</v>
      </c>
      <c r="E62" s="1">
        <v>0.30834003838209906</v>
      </c>
      <c r="F62" s="1">
        <v>1.0299256244601196</v>
      </c>
      <c r="G62" s="1">
        <v>0.20798060866421911</v>
      </c>
      <c r="H62" s="20">
        <v>1.0050570193589483</v>
      </c>
      <c r="I62" s="20">
        <v>0.99961974402783138</v>
      </c>
      <c r="J62" s="20">
        <v>0.73124817171967837</v>
      </c>
      <c r="K62" s="1">
        <v>1.0171602359295002</v>
      </c>
      <c r="L62" s="20">
        <v>0.97352090025326421</v>
      </c>
      <c r="M62" s="20">
        <v>0.97750888038365957</v>
      </c>
      <c r="N62" s="1">
        <v>1.0035965353321432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3"/>
      <c r="AA62" s="24"/>
      <c r="AB62" s="24"/>
      <c r="AC62" s="24"/>
      <c r="AD62" s="24"/>
      <c r="AE62" s="24"/>
      <c r="AF62" s="24"/>
      <c r="AG62" s="24"/>
      <c r="AH62" s="23"/>
      <c r="AI62" s="24"/>
    </row>
    <row r="63" spans="2:35" ht="20" customHeight="1">
      <c r="B63" s="1">
        <v>2</v>
      </c>
      <c r="C63" s="1">
        <v>0.11346405052961024</v>
      </c>
      <c r="D63" s="1">
        <v>0.1269560773707418</v>
      </c>
      <c r="E63" s="1">
        <v>0.14314932683165138</v>
      </c>
      <c r="F63" s="20">
        <v>1.0039072741447674</v>
      </c>
      <c r="G63" s="1">
        <v>0.11450950899606545</v>
      </c>
      <c r="H63" s="1">
        <v>0.23065307314859629</v>
      </c>
      <c r="I63" s="1">
        <v>0.22829319187731109</v>
      </c>
      <c r="J63" s="1">
        <v>0.19517134647387702</v>
      </c>
      <c r="K63" s="1">
        <v>1.0184237968606256</v>
      </c>
      <c r="L63" s="1">
        <v>0.19832740437590854</v>
      </c>
      <c r="M63" s="1">
        <v>0.16626399398697578</v>
      </c>
      <c r="N63" s="1">
        <v>0.99260697064036407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3"/>
      <c r="AA63" s="24"/>
      <c r="AB63" s="24"/>
      <c r="AC63" s="24"/>
      <c r="AD63" s="24"/>
      <c r="AE63" s="24"/>
      <c r="AF63" s="24"/>
      <c r="AG63" s="24"/>
      <c r="AH63" s="23"/>
      <c r="AI63" s="24"/>
    </row>
    <row r="64" spans="2:35" ht="20" customHeight="1">
      <c r="B64" s="1">
        <v>4</v>
      </c>
      <c r="C64" s="1">
        <v>4.6443629500738555E-2</v>
      </c>
      <c r="D64" s="1">
        <v>7.568830016959649E-2</v>
      </c>
      <c r="E64" s="1">
        <v>6.5838979346820994E-2</v>
      </c>
      <c r="F64" s="22">
        <v>0.29894908123127678</v>
      </c>
      <c r="G64" s="1">
        <v>6.4158809884149071E-2</v>
      </c>
      <c r="H64" s="1">
        <v>8.2862132486877918E-2</v>
      </c>
      <c r="I64" s="1">
        <v>0.10593902674992818</v>
      </c>
      <c r="J64" s="1">
        <v>0.12854727353898079</v>
      </c>
      <c r="K64" s="20">
        <v>0.76030858883926078</v>
      </c>
      <c r="L64" s="1">
        <v>8.0801579533300139E-2</v>
      </c>
      <c r="M64" s="1">
        <v>5.5682131935607955E-2</v>
      </c>
      <c r="N64" s="20">
        <v>0.75056788522124629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3"/>
      <c r="AA64" s="24"/>
      <c r="AB64" s="24"/>
      <c r="AC64" s="24"/>
      <c r="AD64" s="24"/>
      <c r="AE64" s="24"/>
      <c r="AF64" s="24"/>
      <c r="AG64" s="24"/>
      <c r="AH64" s="23"/>
      <c r="AI64" s="24"/>
    </row>
    <row r="65" spans="2:35" ht="20" customHeight="1">
      <c r="B65" s="1">
        <v>8</v>
      </c>
      <c r="C65" s="1">
        <v>3.4113135316568177E-2</v>
      </c>
      <c r="D65" s="1">
        <v>6.3418394149476073E-2</v>
      </c>
      <c r="E65" s="1">
        <v>4.8271385168763219E-2</v>
      </c>
      <c r="F65" s="1">
        <v>6.0395985219012745E-2</v>
      </c>
      <c r="G65" s="1">
        <v>4.8249727425104048E-2</v>
      </c>
      <c r="H65" s="1">
        <v>5.845703161382642E-2</v>
      </c>
      <c r="I65" s="1">
        <v>8.8415460394898296E-2</v>
      </c>
      <c r="J65" s="1">
        <v>0.10408688238889635</v>
      </c>
      <c r="K65" s="1">
        <v>9.5683464143238875E-2</v>
      </c>
      <c r="L65" s="1">
        <v>6.5017029323035033E-2</v>
      </c>
      <c r="M65" s="1">
        <v>3.4924352790376138E-2</v>
      </c>
      <c r="N65" s="1">
        <v>7.5525250692162968E-2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3"/>
      <c r="AA65" s="24"/>
      <c r="AB65" s="24"/>
      <c r="AC65" s="24"/>
      <c r="AD65" s="24"/>
      <c r="AE65" s="24"/>
      <c r="AF65" s="24"/>
      <c r="AG65" s="24"/>
      <c r="AH65" s="23"/>
      <c r="AI65" s="23"/>
    </row>
    <row r="66" spans="2:35" ht="20" customHeight="1">
      <c r="B66" s="1">
        <v>16</v>
      </c>
      <c r="C66" s="1">
        <v>2.5756011840248741E-2</v>
      </c>
      <c r="D66" s="1">
        <v>6.1191086141117706E-2</v>
      </c>
      <c r="E66" s="1">
        <v>3.6298004491499725E-2</v>
      </c>
      <c r="F66" s="1">
        <v>3.253208458843232E-2</v>
      </c>
      <c r="G66" s="1">
        <v>3.6947962402309756E-2</v>
      </c>
      <c r="H66" s="1">
        <v>4.8718498840653636E-2</v>
      </c>
      <c r="I66" s="1">
        <v>8.4161178186057853E-2</v>
      </c>
      <c r="J66" s="1">
        <v>9.9976257022551474E-2</v>
      </c>
      <c r="K66" s="1">
        <v>4.8529506235058882E-2</v>
      </c>
      <c r="L66" s="1">
        <v>6.0746875384663203E-2</v>
      </c>
      <c r="M66" s="1">
        <v>2.8885785989562384E-2</v>
      </c>
      <c r="N66" s="1">
        <v>3.476720064850055E-2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3"/>
      <c r="AA66" s="24"/>
      <c r="AB66" s="24"/>
      <c r="AC66" s="24"/>
      <c r="AD66" s="24"/>
      <c r="AE66" s="24"/>
      <c r="AF66" s="24"/>
      <c r="AG66" s="24"/>
      <c r="AH66" s="23"/>
      <c r="AI66" s="23"/>
    </row>
    <row r="67" spans="2:35" ht="20" customHeight="1"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4"/>
      <c r="AB67" s="24"/>
      <c r="AC67" s="24"/>
      <c r="AD67" s="24"/>
      <c r="AE67" s="24"/>
      <c r="AF67" s="24"/>
      <c r="AG67" s="24"/>
      <c r="AH67" s="23"/>
      <c r="AI67" s="23"/>
    </row>
    <row r="68" spans="2:35" ht="20" customHeight="1"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4"/>
      <c r="AB68" s="24"/>
      <c r="AC68" s="24"/>
      <c r="AD68" s="24"/>
      <c r="AE68" s="24"/>
      <c r="AF68" s="24"/>
      <c r="AG68" s="24"/>
      <c r="AH68" s="23"/>
      <c r="AI68" s="23"/>
    </row>
    <row r="69" spans="2:35" ht="20" customHeight="1"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5"/>
      <c r="AA69" s="24"/>
      <c r="AB69" s="24"/>
      <c r="AC69" s="24"/>
      <c r="AD69" s="24"/>
      <c r="AE69" s="24"/>
      <c r="AF69" s="24"/>
      <c r="AG69" s="24"/>
      <c r="AH69" s="23"/>
      <c r="AI69" s="23"/>
    </row>
    <row r="70" spans="2:35">
      <c r="Z70" s="19"/>
      <c r="AA70" s="19"/>
    </row>
    <row r="71" spans="2:35">
      <c r="Z71" s="24"/>
      <c r="AA71" s="24"/>
    </row>
    <row r="72" spans="2:35">
      <c r="Z72" s="24"/>
      <c r="AA72" s="24"/>
    </row>
    <row r="73" spans="2:35">
      <c r="Z73" s="24"/>
      <c r="AA73" s="24"/>
    </row>
    <row r="74" spans="2:35">
      <c r="Z74" s="24"/>
      <c r="AA74" s="24"/>
    </row>
    <row r="75" spans="2:35">
      <c r="Z75" s="19"/>
      <c r="AA75" s="19"/>
    </row>
  </sheetData>
  <conditionalFormatting sqref="C60:N66">
    <cfRule type="colorScale" priority="3">
      <colorScale>
        <cfvo type="num" val="0"/>
        <cfvo type="max"/>
        <color theme="1"/>
        <color rgb="FF00B0F0"/>
      </colorScale>
    </cfRule>
  </conditionalFormatting>
  <conditionalFormatting sqref="Z70:AA75 P60:Y66 Z69 AA60:AG69">
    <cfRule type="colorScale" priority="2">
      <colorScale>
        <cfvo type="num" val="0"/>
        <cfvo type="max"/>
        <color theme="1"/>
        <color rgb="FF00B0F0"/>
      </colorScale>
    </cfRule>
  </conditionalFormatting>
  <conditionalFormatting sqref="AI60:AI64">
    <cfRule type="colorScale" priority="1">
      <colorScale>
        <cfvo type="num" val="0"/>
        <cfvo type="max"/>
        <color theme="1"/>
        <color rgb="FF00B0F0"/>
      </colorScale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guide1Rep1</vt:lpstr>
      <vt:lpstr>guide1Rep2</vt:lpstr>
      <vt:lpstr>guide1Rep3, analysis</vt:lpstr>
      <vt:lpstr>guide2Rep1</vt:lpstr>
      <vt:lpstr>guide2Rep2</vt:lpstr>
      <vt:lpstr>guide2Rep3,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Vande Zande</dc:creator>
  <cp:lastModifiedBy>Petra Vande Zande</cp:lastModifiedBy>
  <dcterms:created xsi:type="dcterms:W3CDTF">2026-07-31T14:10:00Z</dcterms:created>
  <dcterms:modified xsi:type="dcterms:W3CDTF">2026-07-31T14:24:28Z</dcterms:modified>
</cp:coreProperties>
</file>