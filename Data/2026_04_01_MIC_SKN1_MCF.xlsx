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">66175056</definedName>
  </definedNames>
  <calcPr/>
  <extLst>
    <ext uri="GoogleSheetsCustomDataVersion2">
      <go:sheetsCustomData xmlns:go="http://customooxmlschemas.google.com/" r:id="rId7" roundtripDataChecksum="MV+PKNkwot407NthgCvFyDSuzZYZTVZpjGtJFs932G4="/>
    </ext>
  </extLst>
</workbook>
</file>

<file path=xl/sharedStrings.xml><?xml version="1.0" encoding="utf-8"?>
<sst xmlns="http://schemas.openxmlformats.org/spreadsheetml/2006/main" count="74" uniqueCount="50">
  <si>
    <t>Software Version</t>
  </si>
  <si>
    <t>2.09.1</t>
  </si>
  <si>
    <t>Experiment File Path:</t>
  </si>
  <si>
    <t>C:\Users\Biotek2\Desktop\Selmecki Lab\Erika\2026_04_01_MIC_SKN1_MCF.xpt</t>
  </si>
  <si>
    <t>Protocol File Path:</t>
  </si>
  <si>
    <t>C:\Users\Public\Documents\Protocols\Initialod_600.prt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</si>
  <si>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</si>
  <si>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</si>
  <si>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</si>
  <si>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</si>
  <si>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</si>
  <si>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</si>
  <si>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</si>
  <si>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</si>
  <si>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</si>
  <si>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</si>
  <si>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</si>
  <si>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</si>
  <si>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</si>
  <si>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</si>
  <si>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</si>
  <si>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</si>
  <si>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</si>
  <si>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</si>
  <si>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</si>
  <si>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</si>
  <si>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</si>
  <si>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</si>
  <si>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</si>
  <si>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</si>
  <si>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</si>
  <si>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</si>
  <si>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</si>
  <si>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</si>
  <si>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C1</t>
  </si>
  <si>
    <t>C2</t>
  </si>
  <si>
    <t>C9</t>
  </si>
  <si>
    <t>C11</t>
  </si>
  <si>
    <t>C18</t>
  </si>
  <si>
    <t>C20</t>
  </si>
  <si>
    <t>C25</t>
  </si>
  <si>
    <t>C26</t>
  </si>
  <si>
    <t>MCF</t>
  </si>
  <si>
    <t>no drug</t>
  </si>
  <si>
    <t>0.004 ug/ml</t>
  </si>
  <si>
    <t>0.008 ug/ml</t>
  </si>
  <si>
    <t>0.016 ug/ml</t>
  </si>
  <si>
    <t>0.032 ug/ml</t>
  </si>
  <si>
    <t>0.64 ug/ml</t>
  </si>
  <si>
    <t>0.128 ug/ml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</si>
</sst>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C9E0F4"/>
        <bgColor rgb="FFC9E0F4"/>
      </patternFill>
    </fill>
    <fill>
      <patternFill patternType="solid">
        <fgColor rgb="FFBAD7EF"/>
        <bgColor rgb="FFBAD7EF"/>
      </patternFill>
    </fill>
    <fill>
      <patternFill patternType="solid">
        <fgColor rgb="FF9CC5E5"/>
        <bgColor rgb="FF9CC5E5"/>
      </patternFill>
    </fill>
    <fill>
      <patternFill patternType="solid">
        <fgColor rgb="FF5197CC"/>
        <bgColor rgb="FF5197CC"/>
      </patternFill>
    </fill>
    <fill>
      <patternFill patternType="solid">
        <fgColor rgb="FFD8E9F9"/>
        <bgColor rgb="FFD8E9F9"/>
      </patternFill>
    </fill>
    <fill>
      <patternFill patternType="solid">
        <fgColor rgb="FF60A0D1"/>
        <bgColor rgb="FF60A0D1"/>
      </patternFill>
    </fill>
    <fill>
      <patternFill patternType="solid">
        <fgColor rgb="FF8DBCE0"/>
        <bgColor rgb="FF8DBCE0"/>
      </patternFill>
    </fill>
    <fill>
      <patternFill patternType="solid">
        <fgColor rgb="FF6FA9D6"/>
        <bgColor rgb="FF6FA9D6"/>
      </patternFill>
    </fill>
    <fill>
      <patternFill patternType="solid">
        <fgColor rgb="FF428EC7"/>
        <bgColor rgb="FF428EC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8.63"/>
    <col customWidth="1" min="16" max="16" width="15.25"/>
    <col customWidth="1" min="17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2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3">
        <v>46113.0</v>
      </c>
    </row>
    <row r="8" ht="12.75" customHeight="1">
      <c r="A8" s="1" t="s">
        <v>9</v>
      </c>
      <c r="B8" s="4">
        <v>0.6338541666666667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268425.0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5" t="s">
        <v>15</v>
      </c>
      <c r="B13" s="6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5" t="s">
        <v>24</v>
      </c>
      <c r="B21" s="6"/>
    </row>
    <row r="22" ht="12.75" customHeight="1">
      <c r="A22" s="1" t="s">
        <v>25</v>
      </c>
      <c r="B22" s="1">
        <v>30.0</v>
      </c>
    </row>
    <row r="23" ht="12.75" customHeight="1"/>
    <row r="24" ht="12.75" customHeight="1"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</row>
    <row r="25" ht="12.75" customHeight="1">
      <c r="B25" s="8" t="s">
        <v>26</v>
      </c>
      <c r="C25" s="9">
        <v>0.114</v>
      </c>
      <c r="D25" s="9">
        <v>0.108</v>
      </c>
      <c r="E25" s="9">
        <v>0.106</v>
      </c>
      <c r="F25" s="9">
        <v>0.105</v>
      </c>
      <c r="G25" s="9">
        <v>0.108</v>
      </c>
      <c r="H25" s="9">
        <v>0.108</v>
      </c>
      <c r="I25" s="9">
        <v>0.106</v>
      </c>
      <c r="J25" s="9">
        <v>0.108</v>
      </c>
      <c r="K25" s="9">
        <v>0.103</v>
      </c>
      <c r="L25" s="9">
        <v>0.104</v>
      </c>
      <c r="M25" s="9">
        <v>0.102</v>
      </c>
      <c r="N25" s="9">
        <v>0.106</v>
      </c>
      <c r="O25" s="10">
        <v>600.0</v>
      </c>
      <c r="P25" s="1">
        <f>AVERAGE(C25:N25)</f>
        <v>0.1065</v>
      </c>
    </row>
    <row r="26" ht="12.75" customHeight="1">
      <c r="B26" s="8" t="s">
        <v>27</v>
      </c>
      <c r="C26" s="11">
        <v>1.391</v>
      </c>
      <c r="D26" s="12">
        <v>1.35</v>
      </c>
      <c r="E26" s="11">
        <v>1.387</v>
      </c>
      <c r="F26" s="11">
        <v>1.395</v>
      </c>
      <c r="G26" s="11">
        <v>1.359</v>
      </c>
      <c r="H26" s="11">
        <v>1.368</v>
      </c>
      <c r="I26" s="11">
        <v>1.44</v>
      </c>
      <c r="J26" s="11">
        <v>1.431</v>
      </c>
      <c r="K26" s="11">
        <v>1.415</v>
      </c>
      <c r="L26" s="11">
        <v>1.385</v>
      </c>
      <c r="M26" s="12">
        <v>1.349</v>
      </c>
      <c r="N26" s="12">
        <v>1.328</v>
      </c>
      <c r="O26" s="10">
        <v>600.0</v>
      </c>
    </row>
    <row r="27" ht="12.75" customHeight="1">
      <c r="B27" s="8" t="s">
        <v>28</v>
      </c>
      <c r="C27" s="11">
        <v>1.377</v>
      </c>
      <c r="D27" s="11">
        <v>1.366</v>
      </c>
      <c r="E27" s="11">
        <v>1.366</v>
      </c>
      <c r="F27" s="11">
        <v>1.413</v>
      </c>
      <c r="G27" s="11">
        <v>1.407</v>
      </c>
      <c r="H27" s="11">
        <v>1.414</v>
      </c>
      <c r="I27" s="11">
        <v>1.454</v>
      </c>
      <c r="J27" s="11">
        <v>1.431</v>
      </c>
      <c r="K27" s="11">
        <v>1.443</v>
      </c>
      <c r="L27" s="11">
        <v>1.428</v>
      </c>
      <c r="M27" s="11">
        <v>1.388</v>
      </c>
      <c r="N27" s="11">
        <v>1.38</v>
      </c>
      <c r="O27" s="10">
        <v>600.0</v>
      </c>
    </row>
    <row r="28" ht="12.75" customHeight="1">
      <c r="B28" s="8" t="s">
        <v>29</v>
      </c>
      <c r="C28" s="12">
        <v>1.346</v>
      </c>
      <c r="D28" s="12">
        <v>1.33</v>
      </c>
      <c r="E28" s="12">
        <v>1.321</v>
      </c>
      <c r="F28" s="11">
        <v>1.363</v>
      </c>
      <c r="G28" s="12">
        <v>1.342</v>
      </c>
      <c r="H28" s="11">
        <v>1.365</v>
      </c>
      <c r="I28" s="11">
        <v>1.399</v>
      </c>
      <c r="J28" s="11">
        <v>1.361</v>
      </c>
      <c r="K28" s="12">
        <v>1.354</v>
      </c>
      <c r="L28" s="11">
        <v>1.377</v>
      </c>
      <c r="M28" s="12">
        <v>1.344</v>
      </c>
      <c r="N28" s="12">
        <v>1.338</v>
      </c>
      <c r="O28" s="10">
        <v>600.0</v>
      </c>
    </row>
    <row r="29" ht="12.75" customHeight="1">
      <c r="B29" s="8" t="s">
        <v>30</v>
      </c>
      <c r="C29" s="13">
        <v>0.356</v>
      </c>
      <c r="D29" s="14">
        <v>0.47</v>
      </c>
      <c r="E29" s="15">
        <v>0.647</v>
      </c>
      <c r="F29" s="16">
        <v>1.161</v>
      </c>
      <c r="G29" s="14">
        <v>0.414</v>
      </c>
      <c r="H29" s="13">
        <v>0.315</v>
      </c>
      <c r="I29" s="14">
        <v>0.466</v>
      </c>
      <c r="J29" s="17">
        <v>0.256</v>
      </c>
      <c r="K29" s="17">
        <v>0.225</v>
      </c>
      <c r="L29" s="15">
        <v>0.621</v>
      </c>
      <c r="M29" s="18">
        <v>0.989</v>
      </c>
      <c r="N29" s="16">
        <v>1.162</v>
      </c>
      <c r="O29" s="10">
        <v>600.0</v>
      </c>
    </row>
    <row r="30" ht="12.75" customHeight="1">
      <c r="B30" s="8" t="s">
        <v>31</v>
      </c>
      <c r="C30" s="9">
        <v>0.108</v>
      </c>
      <c r="D30" s="9">
        <v>0.112</v>
      </c>
      <c r="E30" s="9">
        <v>0.113</v>
      </c>
      <c r="F30" s="9">
        <v>0.14</v>
      </c>
      <c r="G30" s="9">
        <v>0.118</v>
      </c>
      <c r="H30" s="9">
        <v>0.128</v>
      </c>
      <c r="I30" s="9">
        <v>0.138</v>
      </c>
      <c r="J30" s="9">
        <v>0.126</v>
      </c>
      <c r="K30" s="9">
        <v>0.126</v>
      </c>
      <c r="L30" s="9">
        <v>0.121</v>
      </c>
      <c r="M30" s="9">
        <v>0.122</v>
      </c>
      <c r="N30" s="9">
        <v>0.141</v>
      </c>
      <c r="O30" s="10">
        <v>600.0</v>
      </c>
    </row>
    <row r="31" ht="12.75" customHeight="1">
      <c r="B31" s="8" t="s">
        <v>32</v>
      </c>
      <c r="C31" s="9">
        <v>0.104</v>
      </c>
      <c r="D31" s="9">
        <v>0.104</v>
      </c>
      <c r="E31" s="9">
        <v>0.104</v>
      </c>
      <c r="F31" s="9">
        <v>0.107</v>
      </c>
      <c r="G31" s="9">
        <v>0.103</v>
      </c>
      <c r="H31" s="9">
        <v>0.104</v>
      </c>
      <c r="I31" s="9">
        <v>0.107</v>
      </c>
      <c r="J31" s="9">
        <v>0.107</v>
      </c>
      <c r="K31" s="9">
        <v>0.102</v>
      </c>
      <c r="L31" s="9">
        <v>0.102</v>
      </c>
      <c r="M31" s="9">
        <v>0.102</v>
      </c>
      <c r="N31" s="9">
        <v>0.104</v>
      </c>
      <c r="O31" s="10">
        <v>600.0</v>
      </c>
    </row>
    <row r="32" ht="12.75" customHeight="1">
      <c r="B32" s="8" t="s">
        <v>33</v>
      </c>
      <c r="C32" s="9">
        <v>0.105</v>
      </c>
      <c r="D32" s="9">
        <v>0.104</v>
      </c>
      <c r="E32" s="9">
        <v>0.102</v>
      </c>
      <c r="F32" s="9">
        <v>0.105</v>
      </c>
      <c r="G32" s="9">
        <v>0.104</v>
      </c>
      <c r="H32" s="9">
        <v>0.103</v>
      </c>
      <c r="I32" s="9">
        <v>0.102</v>
      </c>
      <c r="J32" s="9">
        <v>0.103</v>
      </c>
      <c r="K32" s="9">
        <v>0.1</v>
      </c>
      <c r="L32" s="9">
        <v>0.101</v>
      </c>
      <c r="M32" s="9">
        <v>0.1</v>
      </c>
      <c r="N32" s="9">
        <v>0.102</v>
      </c>
      <c r="O32" s="10">
        <v>600.0</v>
      </c>
    </row>
    <row r="33" ht="12.75" customHeight="1"/>
    <row r="34" ht="12.75" customHeight="1"/>
    <row r="35" ht="12.75" customHeight="1">
      <c r="C35" s="1">
        <f t="shared" ref="C35:N35" si="1">C26-$P$25</f>
        <v>1.2845</v>
      </c>
      <c r="D35" s="1">
        <f t="shared" si="1"/>
        <v>1.2435</v>
      </c>
      <c r="E35" s="1">
        <f t="shared" si="1"/>
        <v>1.2805</v>
      </c>
      <c r="F35" s="1">
        <f t="shared" si="1"/>
        <v>1.2885</v>
      </c>
      <c r="G35" s="1">
        <f t="shared" si="1"/>
        <v>1.2525</v>
      </c>
      <c r="H35" s="1">
        <f t="shared" si="1"/>
        <v>1.2615</v>
      </c>
      <c r="I35" s="1">
        <f t="shared" si="1"/>
        <v>1.3335</v>
      </c>
      <c r="J35" s="1">
        <f t="shared" si="1"/>
        <v>1.3245</v>
      </c>
      <c r="K35" s="1">
        <f t="shared" si="1"/>
        <v>1.3085</v>
      </c>
      <c r="L35" s="1">
        <f t="shared" si="1"/>
        <v>1.2785</v>
      </c>
      <c r="M35" s="1">
        <f t="shared" si="1"/>
        <v>1.2425</v>
      </c>
      <c r="N35" s="1">
        <f t="shared" si="1"/>
        <v>1.2215</v>
      </c>
    </row>
    <row r="36" ht="12.75" customHeight="1">
      <c r="C36" s="1">
        <f t="shared" ref="C36:N36" si="2">C27-$P$25</f>
        <v>1.2705</v>
      </c>
      <c r="D36" s="1">
        <f t="shared" si="2"/>
        <v>1.2595</v>
      </c>
      <c r="E36" s="1">
        <f t="shared" si="2"/>
        <v>1.2595</v>
      </c>
      <c r="F36" s="1">
        <f t="shared" si="2"/>
        <v>1.3065</v>
      </c>
      <c r="G36" s="1">
        <f t="shared" si="2"/>
        <v>1.3005</v>
      </c>
      <c r="H36" s="1">
        <f t="shared" si="2"/>
        <v>1.3075</v>
      </c>
      <c r="I36" s="1">
        <f t="shared" si="2"/>
        <v>1.3475</v>
      </c>
      <c r="J36" s="1">
        <f t="shared" si="2"/>
        <v>1.3245</v>
      </c>
      <c r="K36" s="1">
        <f t="shared" si="2"/>
        <v>1.3365</v>
      </c>
      <c r="L36" s="1">
        <f t="shared" si="2"/>
        <v>1.3215</v>
      </c>
      <c r="M36" s="1">
        <f t="shared" si="2"/>
        <v>1.2815</v>
      </c>
      <c r="N36" s="1">
        <f t="shared" si="2"/>
        <v>1.2735</v>
      </c>
    </row>
    <row r="37" ht="12.75" customHeight="1">
      <c r="C37" s="1">
        <f t="shared" ref="C37:N37" si="3">C28-$P$25</f>
        <v>1.2395</v>
      </c>
      <c r="D37" s="1">
        <f t="shared" si="3"/>
        <v>1.2235</v>
      </c>
      <c r="E37" s="1">
        <f t="shared" si="3"/>
        <v>1.2145</v>
      </c>
      <c r="F37" s="1">
        <f t="shared" si="3"/>
        <v>1.2565</v>
      </c>
      <c r="G37" s="1">
        <f t="shared" si="3"/>
        <v>1.2355</v>
      </c>
      <c r="H37" s="1">
        <f t="shared" si="3"/>
        <v>1.2585</v>
      </c>
      <c r="I37" s="1">
        <f t="shared" si="3"/>
        <v>1.2925</v>
      </c>
      <c r="J37" s="1">
        <f t="shared" si="3"/>
        <v>1.2545</v>
      </c>
      <c r="K37" s="1">
        <f t="shared" si="3"/>
        <v>1.2475</v>
      </c>
      <c r="L37" s="1">
        <f t="shared" si="3"/>
        <v>1.2705</v>
      </c>
      <c r="M37" s="1">
        <f t="shared" si="3"/>
        <v>1.2375</v>
      </c>
      <c r="N37" s="1">
        <f t="shared" si="3"/>
        <v>1.2315</v>
      </c>
    </row>
    <row r="38" ht="12.75" customHeight="1">
      <c r="C38" s="1">
        <f t="shared" ref="C38:N38" si="4">C29-$P$25</f>
        <v>0.2495</v>
      </c>
      <c r="D38" s="1">
        <f t="shared" si="4"/>
        <v>0.3635</v>
      </c>
      <c r="E38" s="1">
        <f t="shared" si="4"/>
        <v>0.5405</v>
      </c>
      <c r="F38" s="1">
        <f t="shared" si="4"/>
        <v>1.0545</v>
      </c>
      <c r="G38" s="1">
        <f t="shared" si="4"/>
        <v>0.3075</v>
      </c>
      <c r="H38" s="1">
        <f t="shared" si="4"/>
        <v>0.2085</v>
      </c>
      <c r="I38" s="1">
        <f t="shared" si="4"/>
        <v>0.3595</v>
      </c>
      <c r="J38" s="1">
        <f t="shared" si="4"/>
        <v>0.1495</v>
      </c>
      <c r="K38" s="1">
        <f t="shared" si="4"/>
        <v>0.1185</v>
      </c>
      <c r="L38" s="1">
        <f t="shared" si="4"/>
        <v>0.5145</v>
      </c>
      <c r="M38" s="1">
        <f t="shared" si="4"/>
        <v>0.8825</v>
      </c>
      <c r="N38" s="1">
        <f t="shared" si="4"/>
        <v>1.0555</v>
      </c>
    </row>
    <row r="39" ht="12.75" customHeight="1">
      <c r="C39" s="1">
        <f t="shared" ref="C39:N39" si="5">C30-$P$25</f>
        <v>0.0015</v>
      </c>
      <c r="D39" s="1">
        <f t="shared" si="5"/>
        <v>0.0055</v>
      </c>
      <c r="E39" s="1">
        <f t="shared" si="5"/>
        <v>0.0065</v>
      </c>
      <c r="F39" s="1">
        <f t="shared" si="5"/>
        <v>0.0335</v>
      </c>
      <c r="G39" s="1">
        <f t="shared" si="5"/>
        <v>0.0115</v>
      </c>
      <c r="H39" s="1">
        <f t="shared" si="5"/>
        <v>0.0215</v>
      </c>
      <c r="I39" s="1">
        <f t="shared" si="5"/>
        <v>0.0315</v>
      </c>
      <c r="J39" s="1">
        <f t="shared" si="5"/>
        <v>0.0195</v>
      </c>
      <c r="K39" s="1">
        <f t="shared" si="5"/>
        <v>0.0195</v>
      </c>
      <c r="L39" s="1">
        <f t="shared" si="5"/>
        <v>0.0145</v>
      </c>
      <c r="M39" s="1">
        <f t="shared" si="5"/>
        <v>0.0155</v>
      </c>
      <c r="N39" s="1">
        <f t="shared" si="5"/>
        <v>0.0345</v>
      </c>
    </row>
    <row r="40" ht="12.75" customHeight="1">
      <c r="C40" s="1">
        <f t="shared" ref="C40:N40" si="6">C31-$P$25</f>
        <v>-0.0025</v>
      </c>
      <c r="D40" s="1">
        <f t="shared" si="6"/>
        <v>-0.0025</v>
      </c>
      <c r="E40" s="1">
        <f t="shared" si="6"/>
        <v>-0.0025</v>
      </c>
      <c r="F40" s="1">
        <f t="shared" si="6"/>
        <v>0.0005</v>
      </c>
      <c r="G40" s="1">
        <f t="shared" si="6"/>
        <v>-0.0035</v>
      </c>
      <c r="H40" s="1">
        <f t="shared" si="6"/>
        <v>-0.0025</v>
      </c>
      <c r="I40" s="1">
        <f t="shared" si="6"/>
        <v>0.0005</v>
      </c>
      <c r="J40" s="1">
        <f t="shared" si="6"/>
        <v>0.0005</v>
      </c>
      <c r="K40" s="1">
        <f t="shared" si="6"/>
        <v>-0.0045</v>
      </c>
      <c r="L40" s="1">
        <f t="shared" si="6"/>
        <v>-0.0045</v>
      </c>
      <c r="M40" s="1">
        <f t="shared" si="6"/>
        <v>-0.0045</v>
      </c>
      <c r="N40" s="1">
        <f t="shared" si="6"/>
        <v>-0.0025</v>
      </c>
    </row>
    <row r="41" ht="12.75" customHeight="1">
      <c r="C41" s="1">
        <f t="shared" ref="C41:N41" si="7">C32-$P$25</f>
        <v>-0.0015</v>
      </c>
      <c r="D41" s="1">
        <f t="shared" si="7"/>
        <v>-0.0025</v>
      </c>
      <c r="E41" s="1">
        <f t="shared" si="7"/>
        <v>-0.0045</v>
      </c>
      <c r="F41" s="1">
        <f t="shared" si="7"/>
        <v>-0.0015</v>
      </c>
      <c r="G41" s="1">
        <f t="shared" si="7"/>
        <v>-0.0025</v>
      </c>
      <c r="H41" s="1">
        <f t="shared" si="7"/>
        <v>-0.0035</v>
      </c>
      <c r="I41" s="1">
        <f t="shared" si="7"/>
        <v>-0.0045</v>
      </c>
      <c r="J41" s="1">
        <f t="shared" si="7"/>
        <v>-0.0035</v>
      </c>
      <c r="K41" s="1">
        <f t="shared" si="7"/>
        <v>-0.0065</v>
      </c>
      <c r="L41" s="1">
        <f t="shared" si="7"/>
        <v>-0.0055</v>
      </c>
      <c r="M41" s="1">
        <f t="shared" si="7"/>
        <v>-0.0065</v>
      </c>
      <c r="N41" s="1">
        <f t="shared" si="7"/>
        <v>-0.0045</v>
      </c>
    </row>
    <row r="42" ht="12.75" customHeight="1"/>
    <row r="43" ht="12.75" customHeight="1">
      <c r="C43" s="19">
        <v>2868.0</v>
      </c>
      <c r="D43" s="19" t="s">
        <v>34</v>
      </c>
      <c r="E43" s="19" t="s">
        <v>35</v>
      </c>
      <c r="F43" s="19">
        <v>2875.0</v>
      </c>
      <c r="G43" s="19" t="s">
        <v>36</v>
      </c>
      <c r="H43" s="19" t="s">
        <v>37</v>
      </c>
      <c r="I43" s="19">
        <v>2876.0</v>
      </c>
      <c r="J43" s="19" t="s">
        <v>38</v>
      </c>
      <c r="K43" s="19" t="s">
        <v>39</v>
      </c>
      <c r="L43" s="19">
        <v>5192.0</v>
      </c>
      <c r="M43" s="19" t="s">
        <v>40</v>
      </c>
      <c r="N43" s="19" t="s">
        <v>41</v>
      </c>
    </row>
    <row r="44" ht="12.75" customHeight="1"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P44" s="7" t="s">
        <v>42</v>
      </c>
      <c r="Q44" s="19">
        <v>2868.0</v>
      </c>
      <c r="R44" s="19" t="s">
        <v>34</v>
      </c>
      <c r="S44" s="19" t="s">
        <v>35</v>
      </c>
      <c r="T44" s="19">
        <v>2875.0</v>
      </c>
      <c r="U44" s="19" t="s">
        <v>36</v>
      </c>
      <c r="V44" s="19" t="s">
        <v>37</v>
      </c>
      <c r="W44" s="19">
        <v>2876.0</v>
      </c>
      <c r="X44" s="19" t="s">
        <v>38</v>
      </c>
      <c r="Y44" s="19" t="s">
        <v>39</v>
      </c>
      <c r="Z44" s="19">
        <v>5192.0</v>
      </c>
      <c r="AA44" s="19" t="s">
        <v>40</v>
      </c>
      <c r="AB44" s="19" t="s">
        <v>41</v>
      </c>
    </row>
    <row r="45" ht="12.75" customHeight="1">
      <c r="C45" s="1">
        <f t="shared" si="8"/>
        <v>0.9891008174</v>
      </c>
      <c r="D45" s="1">
        <f t="shared" si="9"/>
        <v>1.012866908</v>
      </c>
      <c r="E45" s="1">
        <f t="shared" si="10"/>
        <v>0.9836001562</v>
      </c>
      <c r="F45" s="1">
        <f t="shared" si="11"/>
        <v>1.013969732</v>
      </c>
      <c r="G45" s="1">
        <f t="shared" si="12"/>
        <v>1.038323353</v>
      </c>
      <c r="H45" s="1">
        <f t="shared" si="13"/>
        <v>1.036464526</v>
      </c>
      <c r="I45" s="1">
        <f t="shared" si="14"/>
        <v>1.010498688</v>
      </c>
      <c r="J45" s="1">
        <f t="shared" si="15"/>
        <v>1</v>
      </c>
      <c r="K45" s="1">
        <f t="shared" si="16"/>
        <v>1.021398548</v>
      </c>
      <c r="L45" s="1">
        <f t="shared" si="17"/>
        <v>1.033633164</v>
      </c>
      <c r="M45" s="1">
        <f t="shared" si="18"/>
        <v>1.03138833</v>
      </c>
      <c r="N45" s="1">
        <f t="shared" si="19"/>
        <v>1.04257061</v>
      </c>
      <c r="P45" s="8" t="s">
        <v>43</v>
      </c>
      <c r="Q45" s="1">
        <f t="shared" ref="Q45:AB45" si="20">AVERAGE(C44,C53,C62)</f>
        <v>1</v>
      </c>
      <c r="R45" s="1">
        <f t="shared" si="20"/>
        <v>1</v>
      </c>
      <c r="S45" s="1">
        <f t="shared" si="20"/>
        <v>1</v>
      </c>
      <c r="T45" s="1">
        <f t="shared" si="20"/>
        <v>1</v>
      </c>
      <c r="U45" s="1">
        <f t="shared" si="20"/>
        <v>1</v>
      </c>
      <c r="V45" s="1">
        <f t="shared" si="20"/>
        <v>1</v>
      </c>
      <c r="W45" s="1">
        <f t="shared" si="20"/>
        <v>1</v>
      </c>
      <c r="X45" s="1">
        <f t="shared" si="20"/>
        <v>1</v>
      </c>
      <c r="Y45" s="1">
        <f t="shared" si="20"/>
        <v>1</v>
      </c>
      <c r="Z45" s="1">
        <f t="shared" si="20"/>
        <v>1</v>
      </c>
      <c r="AA45" s="1">
        <f t="shared" si="20"/>
        <v>1</v>
      </c>
      <c r="AB45" s="1">
        <f t="shared" si="20"/>
        <v>1</v>
      </c>
    </row>
    <row r="46" ht="12.75" customHeight="1">
      <c r="C46" s="1">
        <f t="shared" si="8"/>
        <v>0.9649669132</v>
      </c>
      <c r="D46" s="1">
        <f t="shared" si="9"/>
        <v>0.9839163651</v>
      </c>
      <c r="E46" s="1">
        <f t="shared" si="10"/>
        <v>0.9484576337</v>
      </c>
      <c r="F46" s="1">
        <f t="shared" si="11"/>
        <v>0.9751649205</v>
      </c>
      <c r="G46" s="1">
        <f t="shared" si="12"/>
        <v>0.9864271457</v>
      </c>
      <c r="H46" s="1">
        <f t="shared" si="13"/>
        <v>0.9976218787</v>
      </c>
      <c r="I46" s="1">
        <f t="shared" si="14"/>
        <v>0.9692538433</v>
      </c>
      <c r="J46" s="1">
        <f t="shared" si="15"/>
        <v>0.9471498679</v>
      </c>
      <c r="K46" s="1">
        <f t="shared" si="16"/>
        <v>0.9533817348</v>
      </c>
      <c r="L46" s="1">
        <f t="shared" si="17"/>
        <v>0.9937426672</v>
      </c>
      <c r="M46" s="1">
        <f t="shared" si="18"/>
        <v>0.9959758551</v>
      </c>
      <c r="N46" s="1">
        <f t="shared" si="19"/>
        <v>1.008186656</v>
      </c>
      <c r="P46" s="8" t="s">
        <v>44</v>
      </c>
      <c r="Q46" s="1">
        <f t="shared" ref="Q46:AB46" si="21">AVERAGE(C45,C54,C63)</f>
        <v>1.002998422</v>
      </c>
      <c r="R46" s="1">
        <f t="shared" si="21"/>
        <v>1.003551405</v>
      </c>
      <c r="S46" s="1">
        <f t="shared" si="21"/>
        <v>0.9915082671</v>
      </c>
      <c r="T46" s="1">
        <f t="shared" si="21"/>
        <v>1.000616938</v>
      </c>
      <c r="U46" s="1">
        <f t="shared" si="21"/>
        <v>0.9998708102</v>
      </c>
      <c r="V46" s="1">
        <f t="shared" si="21"/>
        <v>0.9979818605</v>
      </c>
      <c r="W46" s="1">
        <f t="shared" si="21"/>
        <v>0.979539401</v>
      </c>
      <c r="X46" s="1">
        <f t="shared" si="21"/>
        <v>0.9826017179</v>
      </c>
      <c r="Y46" s="1">
        <f t="shared" si="21"/>
        <v>0.9909660648</v>
      </c>
      <c r="Z46" s="1">
        <f t="shared" si="21"/>
        <v>0.9998590886</v>
      </c>
      <c r="AA46" s="1">
        <f t="shared" si="21"/>
        <v>0.9980374872</v>
      </c>
      <c r="AB46" s="1">
        <f t="shared" si="21"/>
        <v>1.002620368</v>
      </c>
    </row>
    <row r="47" ht="12.75" customHeight="1">
      <c r="C47" s="1">
        <f t="shared" si="8"/>
        <v>0.1942390035</v>
      </c>
      <c r="D47" s="1">
        <f t="shared" si="9"/>
        <v>0.2923200643</v>
      </c>
      <c r="E47" s="1">
        <f t="shared" si="10"/>
        <v>0.4221007419</v>
      </c>
      <c r="F47" s="1">
        <f t="shared" si="11"/>
        <v>0.8183934808</v>
      </c>
      <c r="G47" s="1">
        <f t="shared" si="12"/>
        <v>0.245508982</v>
      </c>
      <c r="H47" s="1">
        <f t="shared" si="13"/>
        <v>0.1652794293</v>
      </c>
      <c r="I47" s="1">
        <f t="shared" si="14"/>
        <v>0.2695913011</v>
      </c>
      <c r="J47" s="1">
        <f t="shared" si="15"/>
        <v>0.1128727822</v>
      </c>
      <c r="K47" s="1">
        <f t="shared" si="16"/>
        <v>0.09056171188</v>
      </c>
      <c r="L47" s="1">
        <f t="shared" si="17"/>
        <v>0.4024247165</v>
      </c>
      <c r="M47" s="1">
        <f t="shared" si="18"/>
        <v>0.7102615694</v>
      </c>
      <c r="N47" s="1">
        <f t="shared" si="19"/>
        <v>0.8641015145</v>
      </c>
      <c r="P47" s="8" t="s">
        <v>45</v>
      </c>
      <c r="Q47" s="1">
        <f t="shared" ref="Q47:AB47" si="22">AVERAGE(C46,C55,C64)</f>
        <v>0.9778640304</v>
      </c>
      <c r="R47" s="1">
        <f t="shared" si="22"/>
        <v>0.9816128666</v>
      </c>
      <c r="S47" s="1">
        <f t="shared" si="22"/>
        <v>0.9706271934</v>
      </c>
      <c r="T47" s="1">
        <f t="shared" si="22"/>
        <v>0.978519216</v>
      </c>
      <c r="U47" s="1">
        <f t="shared" si="22"/>
        <v>0.9688309601</v>
      </c>
      <c r="V47" s="1">
        <f t="shared" si="22"/>
        <v>0.9713335893</v>
      </c>
      <c r="W47" s="1">
        <f t="shared" si="22"/>
        <v>0.9401514582</v>
      </c>
      <c r="X47" s="1">
        <f t="shared" si="22"/>
        <v>0.932639033</v>
      </c>
      <c r="Y47" s="1">
        <f t="shared" si="22"/>
        <v>0.9381867166</v>
      </c>
      <c r="Z47" s="1">
        <f t="shared" si="22"/>
        <v>0.9667218188</v>
      </c>
      <c r="AA47" s="1">
        <f t="shared" si="22"/>
        <v>0.9634958039</v>
      </c>
      <c r="AB47" s="1">
        <f t="shared" si="22"/>
        <v>0.9729744867</v>
      </c>
    </row>
    <row r="48" ht="12.75" customHeight="1">
      <c r="C48" s="1">
        <f t="shared" si="8"/>
        <v>0.00116776956</v>
      </c>
      <c r="D48" s="1">
        <f t="shared" si="9"/>
        <v>0.004422999598</v>
      </c>
      <c r="E48" s="1">
        <f t="shared" si="10"/>
        <v>0.005076142132</v>
      </c>
      <c r="F48" s="1">
        <f t="shared" si="11"/>
        <v>0.0259992239</v>
      </c>
      <c r="G48" s="1">
        <f t="shared" si="12"/>
        <v>0.009181636727</v>
      </c>
      <c r="H48" s="1">
        <f t="shared" si="13"/>
        <v>0.01704320254</v>
      </c>
      <c r="I48" s="1">
        <f t="shared" si="14"/>
        <v>0.02362204724</v>
      </c>
      <c r="J48" s="1">
        <f t="shared" si="15"/>
        <v>0.01472253681</v>
      </c>
      <c r="K48" s="1">
        <f t="shared" si="16"/>
        <v>0.01490256018</v>
      </c>
      <c r="L48" s="1">
        <f t="shared" si="17"/>
        <v>0.01134141572</v>
      </c>
      <c r="M48" s="1">
        <f t="shared" si="18"/>
        <v>0.01247484909</v>
      </c>
      <c r="N48" s="1">
        <f t="shared" si="19"/>
        <v>0.02824396234</v>
      </c>
      <c r="P48" s="8" t="s">
        <v>46</v>
      </c>
      <c r="Q48" s="1">
        <f t="shared" ref="Q48:AB48" si="23">AVERAGE(C47,C56,C65)</f>
        <v>0.5722436401</v>
      </c>
      <c r="R48" s="1">
        <f t="shared" si="23"/>
        <v>0.441180145</v>
      </c>
      <c r="S48" s="1">
        <f t="shared" si="23"/>
        <v>0.4754893502</v>
      </c>
      <c r="T48" s="1">
        <f t="shared" si="23"/>
        <v>0.7105188815</v>
      </c>
      <c r="U48" s="1">
        <f t="shared" si="23"/>
        <v>0.1951303084</v>
      </c>
      <c r="V48" s="1">
        <f t="shared" si="23"/>
        <v>0.1337053779</v>
      </c>
      <c r="W48" s="1">
        <f t="shared" si="23"/>
        <v>0.2383595067</v>
      </c>
      <c r="X48" s="1">
        <f t="shared" si="23"/>
        <v>0.09118732959</v>
      </c>
      <c r="Y48" s="1">
        <f t="shared" si="23"/>
        <v>0.08375131141</v>
      </c>
      <c r="Z48" s="1">
        <f t="shared" si="23"/>
        <v>0.4339865375</v>
      </c>
      <c r="AA48" s="1">
        <f t="shared" si="23"/>
        <v>0.7564671082</v>
      </c>
      <c r="AB48" s="1">
        <f t="shared" si="23"/>
        <v>0.8470631937</v>
      </c>
    </row>
    <row r="49" ht="12.75" customHeight="1">
      <c r="C49" s="1">
        <f t="shared" si="8"/>
        <v>-0.0019462826</v>
      </c>
      <c r="D49" s="1">
        <f t="shared" si="9"/>
        <v>-0.002010454363</v>
      </c>
      <c r="E49" s="1">
        <f t="shared" si="10"/>
        <v>-0.001952362358</v>
      </c>
      <c r="F49" s="1">
        <f t="shared" si="11"/>
        <v>0.000388048118</v>
      </c>
      <c r="G49" s="1">
        <f t="shared" si="12"/>
        <v>-0.002794411178</v>
      </c>
      <c r="H49" s="1">
        <f t="shared" si="13"/>
        <v>-0.001981767737</v>
      </c>
      <c r="I49" s="1">
        <f t="shared" si="14"/>
        <v>0.0003749531309</v>
      </c>
      <c r="J49" s="1">
        <f t="shared" si="15"/>
        <v>0.0003775009438</v>
      </c>
      <c r="K49" s="1">
        <f t="shared" si="16"/>
        <v>-0.00343905235</v>
      </c>
      <c r="L49" s="1">
        <f t="shared" si="17"/>
        <v>-0.003519749707</v>
      </c>
      <c r="M49" s="1">
        <f t="shared" si="18"/>
        <v>-0.003621730382</v>
      </c>
      <c r="N49" s="1">
        <f t="shared" si="19"/>
        <v>-0.002046663938</v>
      </c>
      <c r="P49" s="8" t="s">
        <v>47</v>
      </c>
      <c r="Q49" s="1">
        <f t="shared" ref="Q49:AB49" si="24">AVERAGE(C48,C57,C66)</f>
        <v>0.01176147679</v>
      </c>
      <c r="R49" s="1">
        <f t="shared" si="24"/>
        <v>0.008791657005</v>
      </c>
      <c r="S49" s="1">
        <f t="shared" si="24"/>
        <v>0.01253189868</v>
      </c>
      <c r="T49" s="1">
        <f t="shared" si="24"/>
        <v>0.03417881174</v>
      </c>
      <c r="U49" s="1">
        <f t="shared" si="24"/>
        <v>0.0213189142</v>
      </c>
      <c r="V49" s="1">
        <f t="shared" si="24"/>
        <v>0.01810005528</v>
      </c>
      <c r="W49" s="1">
        <f t="shared" si="24"/>
        <v>0.009212836368</v>
      </c>
      <c r="X49" s="1">
        <f t="shared" si="24"/>
        <v>0.003825219904</v>
      </c>
      <c r="Y49" s="1">
        <f t="shared" si="24"/>
        <v>0.003886847356</v>
      </c>
      <c r="Z49" s="1">
        <f t="shared" si="24"/>
        <v>0.00814095303</v>
      </c>
      <c r="AA49" s="1">
        <f t="shared" si="24"/>
        <v>0.01129945743</v>
      </c>
      <c r="AB49" s="1">
        <f t="shared" si="24"/>
        <v>0.0290312156</v>
      </c>
    </row>
    <row r="50" ht="12.75" customHeight="1">
      <c r="C50" s="1">
        <f t="shared" si="8"/>
        <v>-0.00116776956</v>
      </c>
      <c r="D50" s="1">
        <f t="shared" si="9"/>
        <v>-0.002010454363</v>
      </c>
      <c r="E50" s="1">
        <f t="shared" si="10"/>
        <v>-0.003514252245</v>
      </c>
      <c r="F50" s="1">
        <f t="shared" si="11"/>
        <v>-0.001164144354</v>
      </c>
      <c r="G50" s="1">
        <f t="shared" si="12"/>
        <v>-0.001996007984</v>
      </c>
      <c r="H50" s="1">
        <f t="shared" si="13"/>
        <v>-0.002774474832</v>
      </c>
      <c r="I50" s="1">
        <f t="shared" si="14"/>
        <v>-0.003374578178</v>
      </c>
      <c r="J50" s="1">
        <f t="shared" si="15"/>
        <v>-0.002642506606</v>
      </c>
      <c r="K50" s="1">
        <f t="shared" si="16"/>
        <v>-0.004967520061</v>
      </c>
      <c r="L50" s="1">
        <f t="shared" si="17"/>
        <v>-0.004301916308</v>
      </c>
      <c r="M50" s="1">
        <f t="shared" si="18"/>
        <v>-0.00523138833</v>
      </c>
      <c r="N50" s="1">
        <f t="shared" si="19"/>
        <v>-0.003683995088</v>
      </c>
      <c r="P50" s="8" t="s">
        <v>48</v>
      </c>
      <c r="Q50" s="1">
        <f t="shared" ref="Q50:AB50" si="25">AVERAGE(C49,C58,C67)</f>
        <v>-0.0004994213205</v>
      </c>
      <c r="R50" s="1">
        <f t="shared" si="25"/>
        <v>0.001279031174</v>
      </c>
      <c r="S50" s="1">
        <f t="shared" si="25"/>
        <v>0.008933203892</v>
      </c>
      <c r="T50" s="1">
        <f t="shared" si="25"/>
        <v>0.01687094604</v>
      </c>
      <c r="U50" s="1">
        <f t="shared" si="25"/>
        <v>0.01118632442</v>
      </c>
      <c r="V50" s="1">
        <f t="shared" si="25"/>
        <v>-0.00175929175</v>
      </c>
      <c r="W50" s="1">
        <f t="shared" si="25"/>
        <v>-0.001891618848</v>
      </c>
      <c r="X50" s="1">
        <f t="shared" si="25"/>
        <v>-0.002181678645</v>
      </c>
      <c r="Y50" s="1">
        <f t="shared" si="25"/>
        <v>-0.003699864079</v>
      </c>
      <c r="Z50" s="1">
        <f t="shared" si="25"/>
        <v>-0.003259945094</v>
      </c>
      <c r="AA50" s="1">
        <f t="shared" si="25"/>
        <v>-0.003059114356</v>
      </c>
      <c r="AB50" s="1">
        <f t="shared" si="25"/>
        <v>-0.002810081962</v>
      </c>
    </row>
    <row r="51" ht="12.75" customHeight="1">
      <c r="P51" s="8" t="s">
        <v>49</v>
      </c>
      <c r="Q51" s="1">
        <f t="shared" ref="Q51:AB51" si="26">AVERAGE(C50,C59,C68)</f>
        <v>-0.001005418377</v>
      </c>
      <c r="R51" s="1">
        <f t="shared" si="26"/>
        <v>-0.001797333181</v>
      </c>
      <c r="S51" s="1">
        <f t="shared" si="26"/>
        <v>-0.002039548891</v>
      </c>
      <c r="T51" s="1">
        <f t="shared" si="26"/>
        <v>-0.0007425862403</v>
      </c>
      <c r="U51" s="1">
        <f t="shared" si="26"/>
        <v>-0.001024004924</v>
      </c>
      <c r="V51" s="1">
        <f t="shared" si="26"/>
        <v>-0.000534224796</v>
      </c>
      <c r="W51" s="1">
        <f t="shared" si="26"/>
        <v>-0.001944884868</v>
      </c>
      <c r="X51" s="1">
        <f t="shared" si="26"/>
        <v>-0.002698271866</v>
      </c>
      <c r="Y51" s="1">
        <f t="shared" si="26"/>
        <v>-0.003719615644</v>
      </c>
      <c r="Z51" s="1">
        <f t="shared" si="26"/>
        <v>-0.003524179656</v>
      </c>
      <c r="AA51" s="1">
        <f t="shared" si="26"/>
        <v>-0.00384795335</v>
      </c>
      <c r="AB51" s="1">
        <f t="shared" si="26"/>
        <v>-0.0006108472184</v>
      </c>
    </row>
    <row r="52" ht="12.75" customHeight="1"/>
    <row r="53" ht="12.75" customHeight="1"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 ht="12.75" customHeight="1">
      <c r="C54" s="1">
        <v>1.0122394339261809</v>
      </c>
      <c r="D54" s="1">
        <v>0.9885518030910132</v>
      </c>
      <c r="E54" s="1">
        <v>0.9848053181386515</v>
      </c>
      <c r="F54" s="1">
        <v>0.9878810831281954</v>
      </c>
      <c r="G54" s="1">
        <v>0.9796264855687605</v>
      </c>
      <c r="H54" s="1">
        <v>0.9717524623675896</v>
      </c>
      <c r="I54" s="1">
        <v>0.9598350367581137</v>
      </c>
      <c r="J54" s="1">
        <v>0.9713287998529683</v>
      </c>
      <c r="K54" s="1">
        <v>0.9734562211981567</v>
      </c>
      <c r="L54" s="1">
        <v>0.9917680074836296</v>
      </c>
      <c r="M54" s="1">
        <v>0.9894039735099338</v>
      </c>
      <c r="N54" s="1">
        <v>0.9892904953145917</v>
      </c>
    </row>
    <row r="55" ht="12.75" customHeight="1">
      <c r="C55" s="1">
        <v>0.9847007075922738</v>
      </c>
      <c r="D55" s="1">
        <v>0.9793932455638238</v>
      </c>
      <c r="E55" s="1">
        <v>0.9794871794871796</v>
      </c>
      <c r="F55" s="1">
        <v>0.9886385154326833</v>
      </c>
      <c r="G55" s="1">
        <v>0.9743444633088096</v>
      </c>
      <c r="H55" s="1">
        <v>0.9516818435235085</v>
      </c>
      <c r="I55" s="1">
        <v>0.9182356105433028</v>
      </c>
      <c r="J55" s="1">
        <v>0.9242786252527109</v>
      </c>
      <c r="K55" s="1">
        <v>0.9329032258064517</v>
      </c>
      <c r="L55" s="1">
        <v>0.9565949485500468</v>
      </c>
      <c r="M55" s="1">
        <v>0.952317880794702</v>
      </c>
      <c r="N55" s="1">
        <v>0.9609868043602984</v>
      </c>
    </row>
    <row r="56" ht="12.75" customHeight="1">
      <c r="C56" s="1">
        <v>0.7651558615414038</v>
      </c>
      <c r="D56" s="1">
        <v>0.5207021560770846</v>
      </c>
      <c r="E56" s="1">
        <v>0.5092117758784426</v>
      </c>
      <c r="F56" s="1">
        <v>0.6402196553683015</v>
      </c>
      <c r="G56" s="1">
        <v>0.17826825127334467</v>
      </c>
      <c r="H56" s="1">
        <v>0.11540605835346589</v>
      </c>
      <c r="I56" s="1">
        <v>0.22323830016137708</v>
      </c>
      <c r="J56" s="1">
        <v>0.09060834405440178</v>
      </c>
      <c r="K56" s="1">
        <v>0.09677419354838708</v>
      </c>
      <c r="L56" s="1">
        <v>0.5023386342376053</v>
      </c>
      <c r="M56" s="1">
        <v>0.8266792809839166</v>
      </c>
      <c r="N56" s="1">
        <v>0.825588066551922</v>
      </c>
    </row>
    <row r="57" ht="12.75" customHeight="1">
      <c r="C57" s="1">
        <v>0.017020462803595336</v>
      </c>
      <c r="D57" s="1">
        <v>0.005533295172676976</v>
      </c>
      <c r="E57" s="1">
        <v>0.007787274453941128</v>
      </c>
      <c r="F57" s="1">
        <v>0.015338004165877678</v>
      </c>
      <c r="G57" s="1">
        <v>0.0024523674778343728</v>
      </c>
      <c r="H57" s="1">
        <v>-0.0013008734435978454</v>
      </c>
      <c r="I57" s="1">
        <v>0.0016137708445400768</v>
      </c>
      <c r="J57" s="1">
        <v>-0.002021687189854808</v>
      </c>
      <c r="K57" s="1">
        <v>-0.0012903225806451624</v>
      </c>
      <c r="L57" s="1">
        <v>0.00767072029934519</v>
      </c>
      <c r="M57" s="1">
        <v>0.011542100283822137</v>
      </c>
      <c r="N57" s="1">
        <v>0.03384968445209409</v>
      </c>
    </row>
    <row r="58" ht="12.75" customHeight="1">
      <c r="C58" s="1">
        <v>-0.0021036527060623463</v>
      </c>
      <c r="D58" s="1">
        <v>-0.001335622972715132</v>
      </c>
      <c r="E58" s="1">
        <v>-5.698005698005703E-4</v>
      </c>
      <c r="F58" s="1">
        <v>-5.680742283658404E-4</v>
      </c>
      <c r="G58" s="1">
        <v>-5.659309564233168E-4</v>
      </c>
      <c r="H58" s="1">
        <v>-0.0020442296970823283</v>
      </c>
      <c r="I58" s="1">
        <v>-0.0034068495606957077</v>
      </c>
      <c r="J58" s="1">
        <v>-0.00349200514611284</v>
      </c>
      <c r="K58" s="1">
        <v>-0.004976958525345616</v>
      </c>
      <c r="L58" s="1">
        <v>-0.0035547240411599556</v>
      </c>
      <c r="M58" s="1">
        <v>-0.0028382213812677415</v>
      </c>
      <c r="N58" s="1">
        <v>-0.0036335819468349515</v>
      </c>
    </row>
    <row r="59" ht="12.75" customHeight="1">
      <c r="C59" s="1">
        <v>-0.0021036527060623463</v>
      </c>
      <c r="D59" s="1">
        <v>-0.0020988360999809217</v>
      </c>
      <c r="E59" s="1">
        <v>-0.0013295346628679975</v>
      </c>
      <c r="F59" s="1">
        <v>-5.680742283658404E-4</v>
      </c>
      <c r="G59" s="1">
        <v>-0.0013205055649877393</v>
      </c>
      <c r="H59" s="1">
        <v>0.001672551570340087</v>
      </c>
      <c r="I59" s="1">
        <v>-5.379236148466923E-4</v>
      </c>
      <c r="J59" s="1">
        <v>-0.00349200514611284</v>
      </c>
      <c r="K59" s="1">
        <v>-0.004239631336405524</v>
      </c>
      <c r="L59" s="1">
        <v>-0.004303086997193633</v>
      </c>
      <c r="M59" s="1">
        <v>-0.003595080416272462</v>
      </c>
      <c r="N59" s="1">
        <v>-0.004398546567221259</v>
      </c>
    </row>
    <row r="60" ht="12.75" customHeight="1"/>
    <row r="61" ht="12.75" customHeight="1"/>
    <row r="62" ht="12.75" customHeight="1"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</row>
    <row r="63" ht="12.75" customHeight="1">
      <c r="C63" s="1">
        <v>1.0076550140341924</v>
      </c>
      <c r="D63" s="1">
        <v>1.009235505387378</v>
      </c>
      <c r="E63" s="1">
        <v>1.0061193268740438</v>
      </c>
      <c r="F63" s="1">
        <v>1.0</v>
      </c>
      <c r="G63" s="1">
        <v>0.9816625916870416</v>
      </c>
      <c r="H63" s="1">
        <v>0.9857285928893341</v>
      </c>
      <c r="I63" s="1">
        <v>0.9682844786160499</v>
      </c>
      <c r="J63" s="1">
        <v>0.9764763538348444</v>
      </c>
      <c r="K63" s="1">
        <v>0.9780434252256648</v>
      </c>
      <c r="L63" s="1">
        <v>0.9741760944417118</v>
      </c>
      <c r="M63" s="1">
        <v>0.9733201581027667</v>
      </c>
      <c r="N63" s="1">
        <v>0.976</v>
      </c>
    </row>
    <row r="64" ht="12.75" customHeight="1">
      <c r="C64" s="1">
        <v>0.9839244705281959</v>
      </c>
      <c r="D64" s="1">
        <v>0.9815289892252437</v>
      </c>
      <c r="E64" s="1">
        <v>0.9839367669556349</v>
      </c>
      <c r="F64" s="1">
        <v>0.9717542120911794</v>
      </c>
      <c r="G64" s="1">
        <v>0.945721271393643</v>
      </c>
      <c r="H64" s="1">
        <v>0.9646970455683526</v>
      </c>
      <c r="I64" s="1">
        <v>0.9329649207111965</v>
      </c>
      <c r="J64" s="1">
        <v>0.9264886057338887</v>
      </c>
      <c r="K64" s="1">
        <v>0.928275189070505</v>
      </c>
      <c r="L64" s="1">
        <v>0.9498278406296113</v>
      </c>
      <c r="M64" s="1">
        <v>0.942193675889328</v>
      </c>
      <c r="N64" s="1">
        <v>0.94975</v>
      </c>
    </row>
    <row r="65" ht="12.75" customHeight="1">
      <c r="C65" s="1">
        <v>0.7573360551161011</v>
      </c>
      <c r="D65" s="1">
        <v>0.5105182144689585</v>
      </c>
      <c r="E65" s="1">
        <v>0.495155532891382</v>
      </c>
      <c r="F65" s="1">
        <v>0.6729435084241824</v>
      </c>
      <c r="G65" s="1">
        <v>0.16161369193154035</v>
      </c>
      <c r="H65" s="1">
        <v>0.12043064596895343</v>
      </c>
      <c r="I65" s="1">
        <v>0.2222489187890437</v>
      </c>
      <c r="J65" s="1">
        <v>0.07008086253369272</v>
      </c>
      <c r="K65" s="1">
        <v>0.06391802878750914</v>
      </c>
      <c r="L65" s="1">
        <v>0.397196261682243</v>
      </c>
      <c r="M65" s="1">
        <v>0.7324604743083004</v>
      </c>
      <c r="N65" s="1">
        <v>0.8515</v>
      </c>
    </row>
    <row r="66" ht="12.75" customHeight="1">
      <c r="C66" s="1">
        <v>0.017096198009696348</v>
      </c>
      <c r="D66" s="1">
        <v>0.016418676244227808</v>
      </c>
      <c r="E66" s="1">
        <v>0.024732279449260586</v>
      </c>
      <c r="F66" s="1">
        <v>0.061199207135778</v>
      </c>
      <c r="G66" s="1">
        <v>0.05232273838630806</v>
      </c>
      <c r="H66" s="1">
        <v>0.0385578367551327</v>
      </c>
      <c r="I66" s="1">
        <v>0.0024026910139356033</v>
      </c>
      <c r="J66" s="1">
        <v>-0.0012251899044351954</v>
      </c>
      <c r="K66" s="1">
        <v>-0.001951695535496471</v>
      </c>
      <c r="L66" s="1">
        <v>0.00541072306935563</v>
      </c>
      <c r="M66" s="1">
        <v>0.009881422924901177</v>
      </c>
      <c r="N66" s="1">
        <v>0.025000000000000005</v>
      </c>
    </row>
    <row r="67" ht="12.75" customHeight="1">
      <c r="C67" s="1">
        <v>0.002551671344730794</v>
      </c>
      <c r="D67" s="1">
        <v>0.007183170856849667</v>
      </c>
      <c r="E67" s="1">
        <v>0.029321774604793464</v>
      </c>
      <c r="F67" s="1">
        <v>0.05079286422200197</v>
      </c>
      <c r="G67" s="1">
        <v>0.03691931540342298</v>
      </c>
      <c r="H67" s="1">
        <v>-0.0012518778167250957</v>
      </c>
      <c r="I67" s="1">
        <v>-0.002642960115329168</v>
      </c>
      <c r="J67" s="1">
        <v>-0.0034305317324185244</v>
      </c>
      <c r="K67" s="1">
        <v>-0.002683581361307635</v>
      </c>
      <c r="L67" s="1">
        <v>-0.002705361534677815</v>
      </c>
      <c r="M67" s="1">
        <v>-0.002717391304347825</v>
      </c>
      <c r="N67" s="1">
        <v>-0.002749999999999999</v>
      </c>
    </row>
    <row r="68" ht="12.75" customHeight="1">
      <c r="C68" s="1">
        <v>2.55167134473073E-4</v>
      </c>
      <c r="D68" s="1">
        <v>-0.001282709081580306</v>
      </c>
      <c r="E68" s="1">
        <v>-0.0012748597654258114</v>
      </c>
      <c r="F68" s="1">
        <v>-4.955401387512462E-4</v>
      </c>
      <c r="G68" s="1">
        <v>2.444987775061059E-4</v>
      </c>
      <c r="H68" s="1">
        <v>-5.007511266900425E-4</v>
      </c>
      <c r="I68" s="1">
        <v>-0.0019221528111484946</v>
      </c>
      <c r="J68" s="1">
        <v>-0.0019603038470963085</v>
      </c>
      <c r="K68" s="1">
        <v>-0.001951695535496471</v>
      </c>
      <c r="L68" s="1">
        <v>-0.0019675356615838748</v>
      </c>
      <c r="M68" s="1">
        <v>-0.002717391304347825</v>
      </c>
      <c r="N68" s="1">
        <v>0.006249999999999999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45:AB51">
    <cfRule type="colorScale" priority="1">
      <colorScale>
        <cfvo type="formula" val="0"/>
        <cfvo type="formula" val="1"/>
        <color theme="1"/>
        <color rgb="FF00B0F0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0.105</v>
      </c>
      <c r="D25" s="9">
        <v>0.107</v>
      </c>
      <c r="E25" s="9">
        <v>0.105</v>
      </c>
      <c r="F25" s="9">
        <v>0.105</v>
      </c>
      <c r="G25" s="9">
        <v>0.107</v>
      </c>
      <c r="H25" s="9">
        <v>0.112</v>
      </c>
      <c r="I25" s="9">
        <v>0.107</v>
      </c>
      <c r="J25" s="9">
        <v>0.107</v>
      </c>
      <c r="K25" s="9">
        <v>0.105</v>
      </c>
      <c r="L25" s="9">
        <v>0.103</v>
      </c>
      <c r="M25" s="9">
        <v>0.103</v>
      </c>
      <c r="N25" s="9">
        <v>0.103</v>
      </c>
      <c r="O25" s="10">
        <v>600.0</v>
      </c>
      <c r="P25" s="1">
        <f>AVERAGE(C25:N25)</f>
        <v>0.10575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1">
        <v>1.413</v>
      </c>
      <c r="D26" s="11">
        <v>1.416</v>
      </c>
      <c r="E26" s="11">
        <v>1.422</v>
      </c>
      <c r="F26" s="11">
        <v>1.426</v>
      </c>
      <c r="G26" s="11">
        <v>1.431</v>
      </c>
      <c r="H26" s="11">
        <v>1.451</v>
      </c>
      <c r="I26" s="11">
        <v>1.5</v>
      </c>
      <c r="J26" s="11">
        <v>1.466</v>
      </c>
      <c r="K26" s="11">
        <v>1.462</v>
      </c>
      <c r="L26" s="11">
        <v>1.442</v>
      </c>
      <c r="M26" s="11">
        <v>1.427</v>
      </c>
      <c r="N26" s="11">
        <v>1.413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1">
        <v>1.429</v>
      </c>
      <c r="D27" s="11">
        <v>1.401</v>
      </c>
      <c r="E27" s="11">
        <v>1.402</v>
      </c>
      <c r="F27" s="11">
        <v>1.41</v>
      </c>
      <c r="G27" s="11">
        <v>1.404</v>
      </c>
      <c r="H27" s="11">
        <v>1.413</v>
      </c>
      <c r="I27" s="11">
        <v>1.444</v>
      </c>
      <c r="J27" s="11">
        <v>1.427</v>
      </c>
      <c r="K27" s="11">
        <v>1.426</v>
      </c>
      <c r="L27" s="11">
        <v>1.431</v>
      </c>
      <c r="M27" s="11">
        <v>1.413</v>
      </c>
      <c r="N27" s="12">
        <v>1.399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2">
        <v>1.393</v>
      </c>
      <c r="D28" s="12">
        <v>1.389</v>
      </c>
      <c r="E28" s="12">
        <v>1.395</v>
      </c>
      <c r="F28" s="11">
        <v>1.411</v>
      </c>
      <c r="G28" s="12">
        <v>1.397</v>
      </c>
      <c r="H28" s="12">
        <v>1.386</v>
      </c>
      <c r="I28" s="12">
        <v>1.386</v>
      </c>
      <c r="J28" s="12">
        <v>1.363</v>
      </c>
      <c r="K28" s="12">
        <v>1.371</v>
      </c>
      <c r="L28" s="12">
        <v>1.384</v>
      </c>
      <c r="M28" s="12">
        <v>1.364</v>
      </c>
      <c r="N28" s="12">
        <v>1.362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16">
        <v>1.106</v>
      </c>
      <c r="D29" s="20">
        <v>0.788</v>
      </c>
      <c r="E29" s="20">
        <v>0.776</v>
      </c>
      <c r="F29" s="21">
        <v>0.951</v>
      </c>
      <c r="G29" s="13">
        <v>0.342</v>
      </c>
      <c r="H29" s="17">
        <v>0.261</v>
      </c>
      <c r="I29" s="14">
        <v>0.417</v>
      </c>
      <c r="J29" s="17">
        <v>0.229</v>
      </c>
      <c r="K29" s="17">
        <v>0.237</v>
      </c>
      <c r="L29" s="20">
        <v>0.777</v>
      </c>
      <c r="M29" s="16">
        <v>1.198</v>
      </c>
      <c r="N29" s="16">
        <v>1.185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0.128</v>
      </c>
      <c r="D30" s="9">
        <v>0.113</v>
      </c>
      <c r="E30" s="9">
        <v>0.116</v>
      </c>
      <c r="F30" s="9">
        <v>0.126</v>
      </c>
      <c r="G30" s="9">
        <v>0.109</v>
      </c>
      <c r="H30" s="9">
        <v>0.104</v>
      </c>
      <c r="I30" s="9">
        <v>0.108</v>
      </c>
      <c r="J30" s="9">
        <v>0.103</v>
      </c>
      <c r="K30" s="9">
        <v>0.104</v>
      </c>
      <c r="L30" s="9">
        <v>0.116</v>
      </c>
      <c r="M30" s="9">
        <v>0.121</v>
      </c>
      <c r="N30" s="9">
        <v>0.15</v>
      </c>
      <c r="O30" s="10">
        <v>600.0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0.103</v>
      </c>
      <c r="D31" s="9">
        <v>0.104</v>
      </c>
      <c r="E31" s="9">
        <v>0.105</v>
      </c>
      <c r="F31" s="9">
        <v>0.105</v>
      </c>
      <c r="G31" s="9">
        <v>0.105</v>
      </c>
      <c r="H31" s="9">
        <v>0.103</v>
      </c>
      <c r="I31" s="9">
        <v>0.101</v>
      </c>
      <c r="J31" s="9">
        <v>0.101</v>
      </c>
      <c r="K31" s="9">
        <v>0.099</v>
      </c>
      <c r="L31" s="9">
        <v>0.101</v>
      </c>
      <c r="M31" s="9">
        <v>0.102</v>
      </c>
      <c r="N31" s="9">
        <v>0.101</v>
      </c>
      <c r="O31" s="10">
        <v>600.0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0.103</v>
      </c>
      <c r="D32" s="9">
        <v>0.103</v>
      </c>
      <c r="E32" s="9">
        <v>0.104</v>
      </c>
      <c r="F32" s="9">
        <v>0.105</v>
      </c>
      <c r="G32" s="9">
        <v>0.104</v>
      </c>
      <c r="H32" s="9">
        <v>0.108</v>
      </c>
      <c r="I32" s="9">
        <v>0.105</v>
      </c>
      <c r="J32" s="9">
        <v>0.101</v>
      </c>
      <c r="K32" s="9">
        <v>0.1</v>
      </c>
      <c r="L32" s="9">
        <v>0.1</v>
      </c>
      <c r="M32" s="9">
        <v>0.101</v>
      </c>
      <c r="N32" s="9">
        <v>0.1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1">
        <f t="shared" ref="C35:N35" si="1">C26-$P$25</f>
        <v>1.30725</v>
      </c>
      <c r="D35" s="1">
        <f t="shared" si="1"/>
        <v>1.31025</v>
      </c>
      <c r="E35" s="1">
        <f t="shared" si="1"/>
        <v>1.31625</v>
      </c>
      <c r="F35" s="1">
        <f t="shared" si="1"/>
        <v>1.32025</v>
      </c>
      <c r="G35" s="1">
        <f t="shared" si="1"/>
        <v>1.32525</v>
      </c>
      <c r="H35" s="1">
        <f t="shared" si="1"/>
        <v>1.34525</v>
      </c>
      <c r="I35" s="1">
        <f t="shared" si="1"/>
        <v>1.39425</v>
      </c>
      <c r="J35" s="1">
        <f t="shared" si="1"/>
        <v>1.36025</v>
      </c>
      <c r="K35" s="1">
        <f t="shared" si="1"/>
        <v>1.35625</v>
      </c>
      <c r="L35" s="1">
        <f t="shared" si="1"/>
        <v>1.33625</v>
      </c>
      <c r="M35" s="1">
        <f t="shared" si="1"/>
        <v>1.32125</v>
      </c>
      <c r="N35" s="1">
        <f t="shared" si="1"/>
        <v>1.30725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1">
        <f t="shared" ref="C36:N36" si="2">C27-$P$25</f>
        <v>1.32325</v>
      </c>
      <c r="D36" s="1">
        <f t="shared" si="2"/>
        <v>1.29525</v>
      </c>
      <c r="E36" s="1">
        <f t="shared" si="2"/>
        <v>1.29625</v>
      </c>
      <c r="F36" s="1">
        <f t="shared" si="2"/>
        <v>1.30425</v>
      </c>
      <c r="G36" s="1">
        <f t="shared" si="2"/>
        <v>1.29825</v>
      </c>
      <c r="H36" s="1">
        <f t="shared" si="2"/>
        <v>1.30725</v>
      </c>
      <c r="I36" s="1">
        <f t="shared" si="2"/>
        <v>1.33825</v>
      </c>
      <c r="J36" s="1">
        <f t="shared" si="2"/>
        <v>1.32125</v>
      </c>
      <c r="K36" s="1">
        <f t="shared" si="2"/>
        <v>1.32025</v>
      </c>
      <c r="L36" s="1">
        <f t="shared" si="2"/>
        <v>1.32525</v>
      </c>
      <c r="M36" s="1">
        <f t="shared" si="2"/>
        <v>1.30725</v>
      </c>
      <c r="N36" s="1">
        <f t="shared" si="2"/>
        <v>1.29325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1">
        <f t="shared" ref="C37:N37" si="3">C28-$P$25</f>
        <v>1.28725</v>
      </c>
      <c r="D37" s="1">
        <f t="shared" si="3"/>
        <v>1.28325</v>
      </c>
      <c r="E37" s="1">
        <f t="shared" si="3"/>
        <v>1.28925</v>
      </c>
      <c r="F37" s="1">
        <f t="shared" si="3"/>
        <v>1.30525</v>
      </c>
      <c r="G37" s="1">
        <f t="shared" si="3"/>
        <v>1.29125</v>
      </c>
      <c r="H37" s="1">
        <f t="shared" si="3"/>
        <v>1.28025</v>
      </c>
      <c r="I37" s="1">
        <f t="shared" si="3"/>
        <v>1.28025</v>
      </c>
      <c r="J37" s="1">
        <f t="shared" si="3"/>
        <v>1.25725</v>
      </c>
      <c r="K37" s="1">
        <f t="shared" si="3"/>
        <v>1.26525</v>
      </c>
      <c r="L37" s="1">
        <f t="shared" si="3"/>
        <v>1.27825</v>
      </c>
      <c r="M37" s="1">
        <f t="shared" si="3"/>
        <v>1.25825</v>
      </c>
      <c r="N37" s="1">
        <f t="shared" si="3"/>
        <v>1.25625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1">
        <f t="shared" ref="C38:N38" si="4">C29-$P$25</f>
        <v>1.00025</v>
      </c>
      <c r="D38" s="1">
        <f t="shared" si="4"/>
        <v>0.68225</v>
      </c>
      <c r="E38" s="1">
        <f t="shared" si="4"/>
        <v>0.67025</v>
      </c>
      <c r="F38" s="1">
        <f t="shared" si="4"/>
        <v>0.84525</v>
      </c>
      <c r="G38" s="1">
        <f t="shared" si="4"/>
        <v>0.23625</v>
      </c>
      <c r="H38" s="1">
        <f t="shared" si="4"/>
        <v>0.15525</v>
      </c>
      <c r="I38" s="1">
        <f t="shared" si="4"/>
        <v>0.31125</v>
      </c>
      <c r="J38" s="1">
        <f t="shared" si="4"/>
        <v>0.12325</v>
      </c>
      <c r="K38" s="1">
        <f t="shared" si="4"/>
        <v>0.13125</v>
      </c>
      <c r="L38" s="1">
        <f t="shared" si="4"/>
        <v>0.67125</v>
      </c>
      <c r="M38" s="1">
        <f t="shared" si="4"/>
        <v>1.09225</v>
      </c>
      <c r="N38" s="1">
        <f t="shared" si="4"/>
        <v>1.07925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1">
        <f t="shared" ref="C39:N39" si="5">C30-$P$25</f>
        <v>0.02225</v>
      </c>
      <c r="D39" s="1">
        <f t="shared" si="5"/>
        <v>0.00725</v>
      </c>
      <c r="E39" s="1">
        <f t="shared" si="5"/>
        <v>0.01025</v>
      </c>
      <c r="F39" s="1">
        <f t="shared" si="5"/>
        <v>0.02025</v>
      </c>
      <c r="G39" s="1">
        <f t="shared" si="5"/>
        <v>0.00325</v>
      </c>
      <c r="H39" s="1">
        <f t="shared" si="5"/>
        <v>-0.00175</v>
      </c>
      <c r="I39" s="1">
        <f t="shared" si="5"/>
        <v>0.00225</v>
      </c>
      <c r="J39" s="1">
        <f t="shared" si="5"/>
        <v>-0.00275</v>
      </c>
      <c r="K39" s="1">
        <f t="shared" si="5"/>
        <v>-0.00175</v>
      </c>
      <c r="L39" s="1">
        <f t="shared" si="5"/>
        <v>0.01025</v>
      </c>
      <c r="M39" s="1">
        <f t="shared" si="5"/>
        <v>0.01525</v>
      </c>
      <c r="N39" s="1">
        <f t="shared" si="5"/>
        <v>0.04425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">
        <f t="shared" ref="C40:N40" si="6">C31-$P$25</f>
        <v>-0.00275</v>
      </c>
      <c r="D40" s="1">
        <f t="shared" si="6"/>
        <v>-0.00175</v>
      </c>
      <c r="E40" s="1">
        <f t="shared" si="6"/>
        <v>-0.00075</v>
      </c>
      <c r="F40" s="1">
        <f t="shared" si="6"/>
        <v>-0.00075</v>
      </c>
      <c r="G40" s="1">
        <f t="shared" si="6"/>
        <v>-0.00075</v>
      </c>
      <c r="H40" s="1">
        <f t="shared" si="6"/>
        <v>-0.00275</v>
      </c>
      <c r="I40" s="1">
        <f t="shared" si="6"/>
        <v>-0.00475</v>
      </c>
      <c r="J40" s="1">
        <f t="shared" si="6"/>
        <v>-0.00475</v>
      </c>
      <c r="K40" s="1">
        <f t="shared" si="6"/>
        <v>-0.00675</v>
      </c>
      <c r="L40" s="1">
        <f t="shared" si="6"/>
        <v>-0.00475</v>
      </c>
      <c r="M40" s="1">
        <f t="shared" si="6"/>
        <v>-0.00375</v>
      </c>
      <c r="N40" s="1">
        <f t="shared" si="6"/>
        <v>-0.00475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">
        <f t="shared" ref="C41:N41" si="7">C32-$P$25</f>
        <v>-0.00275</v>
      </c>
      <c r="D41" s="1">
        <f t="shared" si="7"/>
        <v>-0.00275</v>
      </c>
      <c r="E41" s="1">
        <f t="shared" si="7"/>
        <v>-0.00175</v>
      </c>
      <c r="F41" s="1">
        <f t="shared" si="7"/>
        <v>-0.00075</v>
      </c>
      <c r="G41" s="1">
        <f t="shared" si="7"/>
        <v>-0.00175</v>
      </c>
      <c r="H41" s="1">
        <f t="shared" si="7"/>
        <v>0.00225</v>
      </c>
      <c r="I41" s="1">
        <f t="shared" si="7"/>
        <v>-0.00075</v>
      </c>
      <c r="J41" s="1">
        <f t="shared" si="7"/>
        <v>-0.00475</v>
      </c>
      <c r="K41" s="1">
        <f t="shared" si="7"/>
        <v>-0.00575</v>
      </c>
      <c r="L41" s="1">
        <f t="shared" si="7"/>
        <v>-0.00575</v>
      </c>
      <c r="M41" s="1">
        <f t="shared" si="7"/>
        <v>-0.00475</v>
      </c>
      <c r="N41" s="1">
        <f t="shared" si="7"/>
        <v>-0.00575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">
        <f t="shared" si="8"/>
        <v>1.012239434</v>
      </c>
      <c r="D45" s="1">
        <f t="shared" si="9"/>
        <v>0.9885518031</v>
      </c>
      <c r="E45" s="1">
        <f t="shared" si="10"/>
        <v>0.9848053181</v>
      </c>
      <c r="F45" s="1">
        <f t="shared" si="11"/>
        <v>0.9878810831</v>
      </c>
      <c r="G45" s="1">
        <f t="shared" si="12"/>
        <v>0.9796264856</v>
      </c>
      <c r="H45" s="1">
        <f t="shared" si="13"/>
        <v>0.9717524624</v>
      </c>
      <c r="I45" s="1">
        <f t="shared" si="14"/>
        <v>0.9598350368</v>
      </c>
      <c r="J45" s="1">
        <f t="shared" si="15"/>
        <v>0.9713287999</v>
      </c>
      <c r="K45" s="1">
        <f t="shared" si="16"/>
        <v>0.9734562212</v>
      </c>
      <c r="L45" s="1">
        <f t="shared" si="17"/>
        <v>0.9917680075</v>
      </c>
      <c r="M45" s="1">
        <f t="shared" si="18"/>
        <v>0.9894039735</v>
      </c>
      <c r="N45" s="1">
        <f t="shared" si="19"/>
        <v>0.9892904953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">
        <f t="shared" si="8"/>
        <v>0.9847007076</v>
      </c>
      <c r="D46" s="1">
        <f t="shared" si="9"/>
        <v>0.9793932456</v>
      </c>
      <c r="E46" s="1">
        <f t="shared" si="10"/>
        <v>0.9794871795</v>
      </c>
      <c r="F46" s="1">
        <f t="shared" si="11"/>
        <v>0.9886385154</v>
      </c>
      <c r="G46" s="1">
        <f t="shared" si="12"/>
        <v>0.9743444633</v>
      </c>
      <c r="H46" s="1">
        <f t="shared" si="13"/>
        <v>0.9516818435</v>
      </c>
      <c r="I46" s="1">
        <f t="shared" si="14"/>
        <v>0.9182356105</v>
      </c>
      <c r="J46" s="1">
        <f t="shared" si="15"/>
        <v>0.9242786253</v>
      </c>
      <c r="K46" s="1">
        <f t="shared" si="16"/>
        <v>0.9329032258</v>
      </c>
      <c r="L46" s="1">
        <f t="shared" si="17"/>
        <v>0.9565949486</v>
      </c>
      <c r="M46" s="1">
        <f t="shared" si="18"/>
        <v>0.9523178808</v>
      </c>
      <c r="N46" s="1">
        <f t="shared" si="19"/>
        <v>0.9609868044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1">
        <f t="shared" si="8"/>
        <v>0.7651558615</v>
      </c>
      <c r="D47" s="1">
        <f t="shared" si="9"/>
        <v>0.5207021561</v>
      </c>
      <c r="E47" s="1">
        <f t="shared" si="10"/>
        <v>0.5092117759</v>
      </c>
      <c r="F47" s="1">
        <f t="shared" si="11"/>
        <v>0.6402196554</v>
      </c>
      <c r="G47" s="1">
        <f t="shared" si="12"/>
        <v>0.1782682513</v>
      </c>
      <c r="H47" s="1">
        <f t="shared" si="13"/>
        <v>0.1154060584</v>
      </c>
      <c r="I47" s="1">
        <f t="shared" si="14"/>
        <v>0.2232383002</v>
      </c>
      <c r="J47" s="1">
        <f t="shared" si="15"/>
        <v>0.09060834405</v>
      </c>
      <c r="K47" s="1">
        <f t="shared" si="16"/>
        <v>0.09677419355</v>
      </c>
      <c r="L47" s="1">
        <f t="shared" si="17"/>
        <v>0.5023386342</v>
      </c>
      <c r="M47" s="1">
        <f t="shared" si="18"/>
        <v>0.826679281</v>
      </c>
      <c r="N47" s="1">
        <f t="shared" si="19"/>
        <v>0.8255880666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">
        <f t="shared" si="8"/>
        <v>0.0170204628</v>
      </c>
      <c r="D48" s="1">
        <f t="shared" si="9"/>
        <v>0.005533295173</v>
      </c>
      <c r="E48" s="1">
        <f t="shared" si="10"/>
        <v>0.007787274454</v>
      </c>
      <c r="F48" s="1">
        <f t="shared" si="11"/>
        <v>0.01533800417</v>
      </c>
      <c r="G48" s="1">
        <f t="shared" si="12"/>
        <v>0.002452367478</v>
      </c>
      <c r="H48" s="1">
        <f t="shared" si="13"/>
        <v>-0.001300873444</v>
      </c>
      <c r="I48" s="1">
        <f t="shared" si="14"/>
        <v>0.001613770845</v>
      </c>
      <c r="J48" s="1">
        <f t="shared" si="15"/>
        <v>-0.00202168719</v>
      </c>
      <c r="K48" s="1">
        <f t="shared" si="16"/>
        <v>-0.001290322581</v>
      </c>
      <c r="L48" s="1">
        <f t="shared" si="17"/>
        <v>0.007670720299</v>
      </c>
      <c r="M48" s="1">
        <f t="shared" si="18"/>
        <v>0.01154210028</v>
      </c>
      <c r="N48" s="1">
        <f t="shared" si="19"/>
        <v>0.03384968445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">
        <f t="shared" si="8"/>
        <v>-0.002103652706</v>
      </c>
      <c r="D49" s="1">
        <f t="shared" si="9"/>
        <v>-0.001335622973</v>
      </c>
      <c r="E49" s="1">
        <f t="shared" si="10"/>
        <v>-0.0005698005698</v>
      </c>
      <c r="F49" s="1">
        <f t="shared" si="11"/>
        <v>-0.0005680742284</v>
      </c>
      <c r="G49" s="1">
        <f t="shared" si="12"/>
        <v>-0.0005659309564</v>
      </c>
      <c r="H49" s="1">
        <f t="shared" si="13"/>
        <v>-0.002044229697</v>
      </c>
      <c r="I49" s="1">
        <f t="shared" si="14"/>
        <v>-0.003406849561</v>
      </c>
      <c r="J49" s="1">
        <f t="shared" si="15"/>
        <v>-0.003492005146</v>
      </c>
      <c r="K49" s="1">
        <f t="shared" si="16"/>
        <v>-0.004976958525</v>
      </c>
      <c r="L49" s="1">
        <f t="shared" si="17"/>
        <v>-0.003554724041</v>
      </c>
      <c r="M49" s="1">
        <f t="shared" si="18"/>
        <v>-0.002838221381</v>
      </c>
      <c r="N49" s="1">
        <f t="shared" si="19"/>
        <v>-0.003633581947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">
        <f t="shared" si="8"/>
        <v>-0.002103652706</v>
      </c>
      <c r="D50" s="1">
        <f t="shared" si="9"/>
        <v>-0.0020988361</v>
      </c>
      <c r="E50" s="1">
        <f t="shared" si="10"/>
        <v>-0.001329534663</v>
      </c>
      <c r="F50" s="1">
        <f t="shared" si="11"/>
        <v>-0.0005680742284</v>
      </c>
      <c r="G50" s="1">
        <f t="shared" si="12"/>
        <v>-0.001320505565</v>
      </c>
      <c r="H50" s="1">
        <f t="shared" si="13"/>
        <v>0.00167255157</v>
      </c>
      <c r="I50" s="1">
        <f t="shared" si="14"/>
        <v>-0.0005379236148</v>
      </c>
      <c r="J50" s="1">
        <f t="shared" si="15"/>
        <v>-0.003492005146</v>
      </c>
      <c r="K50" s="1">
        <f t="shared" si="16"/>
        <v>-0.004239631336</v>
      </c>
      <c r="L50" s="1">
        <f t="shared" si="17"/>
        <v>-0.004303086997</v>
      </c>
      <c r="M50" s="1">
        <f t="shared" si="18"/>
        <v>-0.003595080416</v>
      </c>
      <c r="N50" s="1">
        <f t="shared" si="19"/>
        <v>-0.004398546567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0.104</v>
      </c>
      <c r="D25" s="9">
        <v>0.108</v>
      </c>
      <c r="E25" s="9">
        <v>0.104</v>
      </c>
      <c r="F25" s="9">
        <v>0.104</v>
      </c>
      <c r="G25" s="9">
        <v>0.106</v>
      </c>
      <c r="H25" s="9">
        <v>0.104</v>
      </c>
      <c r="I25" s="9">
        <v>0.106</v>
      </c>
      <c r="J25" s="9">
        <v>0.104</v>
      </c>
      <c r="K25" s="9">
        <v>0.108</v>
      </c>
      <c r="L25" s="9">
        <v>0.102</v>
      </c>
      <c r="M25" s="9">
        <v>0.103</v>
      </c>
      <c r="N25" s="9">
        <v>0.103</v>
      </c>
      <c r="O25" s="10">
        <v>600.0</v>
      </c>
      <c r="P25" s="1">
        <f>AVERAGE(C25:N25)</f>
        <v>0.1046666667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1">
        <v>1.411</v>
      </c>
      <c r="D26" s="11">
        <v>1.404</v>
      </c>
      <c r="E26" s="11">
        <v>1.412</v>
      </c>
      <c r="F26" s="11">
        <v>1.45</v>
      </c>
      <c r="G26" s="11">
        <v>1.468</v>
      </c>
      <c r="H26" s="11">
        <v>1.436</v>
      </c>
      <c r="I26" s="11">
        <v>1.492</v>
      </c>
      <c r="J26" s="11">
        <v>1.465</v>
      </c>
      <c r="K26" s="11">
        <v>1.471</v>
      </c>
      <c r="L26" s="11">
        <v>1.46</v>
      </c>
      <c r="M26" s="11">
        <v>1.454</v>
      </c>
      <c r="N26" s="11">
        <v>1.438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1">
        <v>1.421</v>
      </c>
      <c r="D27" s="11">
        <v>1.416</v>
      </c>
      <c r="E27" s="11">
        <v>1.42</v>
      </c>
      <c r="F27" s="11">
        <v>1.45</v>
      </c>
      <c r="G27" s="11">
        <v>1.443</v>
      </c>
      <c r="H27" s="11">
        <v>1.417</v>
      </c>
      <c r="I27" s="11">
        <v>1.448</v>
      </c>
      <c r="J27" s="11">
        <v>1.433</v>
      </c>
      <c r="K27" s="11">
        <v>1.441</v>
      </c>
      <c r="L27" s="11">
        <v>1.425</v>
      </c>
      <c r="M27" s="11">
        <v>1.418</v>
      </c>
      <c r="N27" s="11">
        <v>1.406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2">
        <v>1.39</v>
      </c>
      <c r="D28" s="12">
        <v>1.38</v>
      </c>
      <c r="E28" s="12">
        <v>1.391</v>
      </c>
      <c r="F28" s="11">
        <v>1.412</v>
      </c>
      <c r="G28" s="11">
        <v>1.394</v>
      </c>
      <c r="H28" s="12">
        <v>1.389</v>
      </c>
      <c r="I28" s="11">
        <v>1.399</v>
      </c>
      <c r="J28" s="12">
        <v>1.365</v>
      </c>
      <c r="K28" s="12">
        <v>1.373</v>
      </c>
      <c r="L28" s="12">
        <v>1.392</v>
      </c>
      <c r="M28" s="12">
        <v>1.376</v>
      </c>
      <c r="N28" s="12">
        <v>1.371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18">
        <v>1.094</v>
      </c>
      <c r="D29" s="20">
        <v>0.768</v>
      </c>
      <c r="E29" s="20">
        <v>0.752</v>
      </c>
      <c r="F29" s="18">
        <v>1.01</v>
      </c>
      <c r="G29" s="13">
        <v>0.325</v>
      </c>
      <c r="H29" s="17">
        <v>0.265</v>
      </c>
      <c r="I29" s="14">
        <v>0.413</v>
      </c>
      <c r="J29" s="17">
        <v>0.2</v>
      </c>
      <c r="K29" s="9">
        <v>0.192</v>
      </c>
      <c r="L29" s="15">
        <v>0.643</v>
      </c>
      <c r="M29" s="18">
        <v>1.093</v>
      </c>
      <c r="N29" s="22">
        <v>1.24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0.127</v>
      </c>
      <c r="D30" s="9">
        <v>0.126</v>
      </c>
      <c r="E30" s="9">
        <v>0.137</v>
      </c>
      <c r="F30" s="9">
        <v>0.187</v>
      </c>
      <c r="G30" s="9">
        <v>0.176</v>
      </c>
      <c r="H30" s="9">
        <v>0.156</v>
      </c>
      <c r="I30" s="9">
        <v>0.108</v>
      </c>
      <c r="J30" s="9">
        <v>0.103</v>
      </c>
      <c r="K30" s="9">
        <v>0.102</v>
      </c>
      <c r="L30" s="9">
        <v>0.112</v>
      </c>
      <c r="M30" s="9">
        <v>0.118</v>
      </c>
      <c r="N30" s="9">
        <v>0.138</v>
      </c>
      <c r="O30" s="10">
        <v>600.0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0.108</v>
      </c>
      <c r="D31" s="9">
        <v>0.114</v>
      </c>
      <c r="E31" s="9">
        <v>0.143</v>
      </c>
      <c r="F31" s="9">
        <v>0.173</v>
      </c>
      <c r="G31" s="9">
        <v>0.155</v>
      </c>
      <c r="H31" s="9">
        <v>0.103</v>
      </c>
      <c r="I31" s="9">
        <v>0.101</v>
      </c>
      <c r="J31" s="9">
        <v>0.1</v>
      </c>
      <c r="K31" s="9">
        <v>0.101</v>
      </c>
      <c r="L31" s="9">
        <v>0.101</v>
      </c>
      <c r="M31" s="9">
        <v>0.101</v>
      </c>
      <c r="N31" s="9">
        <v>0.101</v>
      </c>
      <c r="O31" s="10">
        <v>600.0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0.105</v>
      </c>
      <c r="D32" s="9">
        <v>0.103</v>
      </c>
      <c r="E32" s="9">
        <v>0.103</v>
      </c>
      <c r="F32" s="9">
        <v>0.104</v>
      </c>
      <c r="G32" s="9">
        <v>0.105</v>
      </c>
      <c r="H32" s="9">
        <v>0.104</v>
      </c>
      <c r="I32" s="9">
        <v>0.102</v>
      </c>
      <c r="J32" s="9">
        <v>0.102</v>
      </c>
      <c r="K32" s="9">
        <v>0.102</v>
      </c>
      <c r="L32" s="9">
        <v>0.102</v>
      </c>
      <c r="M32" s="9">
        <v>0.101</v>
      </c>
      <c r="N32" s="9">
        <v>0.113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1">
        <f t="shared" ref="C35:N35" si="1">C26-$P$25</f>
        <v>1.306333333</v>
      </c>
      <c r="D35" s="1">
        <f t="shared" si="1"/>
        <v>1.299333333</v>
      </c>
      <c r="E35" s="1">
        <f t="shared" si="1"/>
        <v>1.307333333</v>
      </c>
      <c r="F35" s="1">
        <f t="shared" si="1"/>
        <v>1.345333333</v>
      </c>
      <c r="G35" s="1">
        <f t="shared" si="1"/>
        <v>1.363333333</v>
      </c>
      <c r="H35" s="1">
        <f t="shared" si="1"/>
        <v>1.331333333</v>
      </c>
      <c r="I35" s="1">
        <f t="shared" si="1"/>
        <v>1.387333333</v>
      </c>
      <c r="J35" s="1">
        <f t="shared" si="1"/>
        <v>1.360333333</v>
      </c>
      <c r="K35" s="1">
        <f t="shared" si="1"/>
        <v>1.366333333</v>
      </c>
      <c r="L35" s="1">
        <f t="shared" si="1"/>
        <v>1.355333333</v>
      </c>
      <c r="M35" s="1">
        <f t="shared" si="1"/>
        <v>1.349333333</v>
      </c>
      <c r="N35" s="1">
        <f t="shared" si="1"/>
        <v>1.333333333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1">
        <f t="shared" ref="C36:N36" si="2">C27-$P$25</f>
        <v>1.316333333</v>
      </c>
      <c r="D36" s="1">
        <f t="shared" si="2"/>
        <v>1.311333333</v>
      </c>
      <c r="E36" s="1">
        <f t="shared" si="2"/>
        <v>1.315333333</v>
      </c>
      <c r="F36" s="1">
        <f t="shared" si="2"/>
        <v>1.345333333</v>
      </c>
      <c r="G36" s="1">
        <f t="shared" si="2"/>
        <v>1.338333333</v>
      </c>
      <c r="H36" s="1">
        <f t="shared" si="2"/>
        <v>1.312333333</v>
      </c>
      <c r="I36" s="1">
        <f t="shared" si="2"/>
        <v>1.343333333</v>
      </c>
      <c r="J36" s="1">
        <f t="shared" si="2"/>
        <v>1.328333333</v>
      </c>
      <c r="K36" s="1">
        <f t="shared" si="2"/>
        <v>1.336333333</v>
      </c>
      <c r="L36" s="1">
        <f t="shared" si="2"/>
        <v>1.320333333</v>
      </c>
      <c r="M36" s="1">
        <f t="shared" si="2"/>
        <v>1.313333333</v>
      </c>
      <c r="N36" s="1">
        <f t="shared" si="2"/>
        <v>1.301333333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1">
        <f t="shared" ref="C37:N37" si="3">C28-$P$25</f>
        <v>1.285333333</v>
      </c>
      <c r="D37" s="1">
        <f t="shared" si="3"/>
        <v>1.275333333</v>
      </c>
      <c r="E37" s="1">
        <f t="shared" si="3"/>
        <v>1.286333333</v>
      </c>
      <c r="F37" s="1">
        <f t="shared" si="3"/>
        <v>1.307333333</v>
      </c>
      <c r="G37" s="1">
        <f t="shared" si="3"/>
        <v>1.289333333</v>
      </c>
      <c r="H37" s="1">
        <f t="shared" si="3"/>
        <v>1.284333333</v>
      </c>
      <c r="I37" s="1">
        <f t="shared" si="3"/>
        <v>1.294333333</v>
      </c>
      <c r="J37" s="1">
        <f t="shared" si="3"/>
        <v>1.260333333</v>
      </c>
      <c r="K37" s="1">
        <f t="shared" si="3"/>
        <v>1.268333333</v>
      </c>
      <c r="L37" s="1">
        <f t="shared" si="3"/>
        <v>1.287333333</v>
      </c>
      <c r="M37" s="1">
        <f t="shared" si="3"/>
        <v>1.271333333</v>
      </c>
      <c r="N37" s="1">
        <f t="shared" si="3"/>
        <v>1.266333333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1">
        <f t="shared" ref="C38:N38" si="4">C29-$P$25</f>
        <v>0.9893333333</v>
      </c>
      <c r="D38" s="1">
        <f t="shared" si="4"/>
        <v>0.6633333333</v>
      </c>
      <c r="E38" s="1">
        <f t="shared" si="4"/>
        <v>0.6473333333</v>
      </c>
      <c r="F38" s="1">
        <f t="shared" si="4"/>
        <v>0.9053333333</v>
      </c>
      <c r="G38" s="1">
        <f t="shared" si="4"/>
        <v>0.2203333333</v>
      </c>
      <c r="H38" s="1">
        <f t="shared" si="4"/>
        <v>0.1603333333</v>
      </c>
      <c r="I38" s="1">
        <f t="shared" si="4"/>
        <v>0.3083333333</v>
      </c>
      <c r="J38" s="1">
        <f t="shared" si="4"/>
        <v>0.09533333333</v>
      </c>
      <c r="K38" s="1">
        <f t="shared" si="4"/>
        <v>0.08733333333</v>
      </c>
      <c r="L38" s="1">
        <f t="shared" si="4"/>
        <v>0.5383333333</v>
      </c>
      <c r="M38" s="1">
        <f t="shared" si="4"/>
        <v>0.9883333333</v>
      </c>
      <c r="N38" s="1">
        <f t="shared" si="4"/>
        <v>1.135333333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1">
        <f t="shared" ref="C39:N39" si="5">C30-$P$25</f>
        <v>0.02233333333</v>
      </c>
      <c r="D39" s="1">
        <f t="shared" si="5"/>
        <v>0.02133333333</v>
      </c>
      <c r="E39" s="1">
        <f t="shared" si="5"/>
        <v>0.03233333333</v>
      </c>
      <c r="F39" s="1">
        <f t="shared" si="5"/>
        <v>0.08233333333</v>
      </c>
      <c r="G39" s="1">
        <f t="shared" si="5"/>
        <v>0.07133333333</v>
      </c>
      <c r="H39" s="1">
        <f t="shared" si="5"/>
        <v>0.05133333333</v>
      </c>
      <c r="I39" s="1">
        <f t="shared" si="5"/>
        <v>0.003333333333</v>
      </c>
      <c r="J39" s="1">
        <f t="shared" si="5"/>
        <v>-0.001666666667</v>
      </c>
      <c r="K39" s="1">
        <f t="shared" si="5"/>
        <v>-0.002666666667</v>
      </c>
      <c r="L39" s="1">
        <f t="shared" si="5"/>
        <v>0.007333333333</v>
      </c>
      <c r="M39" s="1">
        <f t="shared" si="5"/>
        <v>0.01333333333</v>
      </c>
      <c r="N39" s="1">
        <f t="shared" si="5"/>
        <v>0.03333333333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">
        <f t="shared" ref="C40:N40" si="6">C31-$P$25</f>
        <v>0.003333333333</v>
      </c>
      <c r="D40" s="1">
        <f t="shared" si="6"/>
        <v>0.009333333333</v>
      </c>
      <c r="E40" s="1">
        <f t="shared" si="6"/>
        <v>0.03833333333</v>
      </c>
      <c r="F40" s="1">
        <f t="shared" si="6"/>
        <v>0.06833333333</v>
      </c>
      <c r="G40" s="1">
        <f t="shared" si="6"/>
        <v>0.05033333333</v>
      </c>
      <c r="H40" s="1">
        <f t="shared" si="6"/>
        <v>-0.001666666667</v>
      </c>
      <c r="I40" s="1">
        <f t="shared" si="6"/>
        <v>-0.003666666667</v>
      </c>
      <c r="J40" s="1">
        <f t="shared" si="6"/>
        <v>-0.004666666667</v>
      </c>
      <c r="K40" s="1">
        <f t="shared" si="6"/>
        <v>-0.003666666667</v>
      </c>
      <c r="L40" s="1">
        <f t="shared" si="6"/>
        <v>-0.003666666667</v>
      </c>
      <c r="M40" s="1">
        <f t="shared" si="6"/>
        <v>-0.003666666667</v>
      </c>
      <c r="N40" s="1">
        <f t="shared" si="6"/>
        <v>-0.003666666667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">
        <f t="shared" ref="C41:N41" si="7">C32-$P$25</f>
        <v>0.0003333333333</v>
      </c>
      <c r="D41" s="1">
        <f t="shared" si="7"/>
        <v>-0.001666666667</v>
      </c>
      <c r="E41" s="1">
        <f t="shared" si="7"/>
        <v>-0.001666666667</v>
      </c>
      <c r="F41" s="1">
        <f t="shared" si="7"/>
        <v>-0.0006666666667</v>
      </c>
      <c r="G41" s="1">
        <f t="shared" si="7"/>
        <v>0.0003333333333</v>
      </c>
      <c r="H41" s="1">
        <f t="shared" si="7"/>
        <v>-0.0006666666667</v>
      </c>
      <c r="I41" s="1">
        <f t="shared" si="7"/>
        <v>-0.002666666667</v>
      </c>
      <c r="J41" s="1">
        <f t="shared" si="7"/>
        <v>-0.002666666667</v>
      </c>
      <c r="K41" s="1">
        <f t="shared" si="7"/>
        <v>-0.002666666667</v>
      </c>
      <c r="L41" s="1">
        <f t="shared" si="7"/>
        <v>-0.002666666667</v>
      </c>
      <c r="M41" s="1">
        <f t="shared" si="7"/>
        <v>-0.003666666667</v>
      </c>
      <c r="N41" s="1">
        <f t="shared" si="7"/>
        <v>0.008333333333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">
        <f t="shared" si="8"/>
        <v>1.007655014</v>
      </c>
      <c r="D45" s="1">
        <f t="shared" si="9"/>
        <v>1.009235505</v>
      </c>
      <c r="E45" s="1">
        <f t="shared" si="10"/>
        <v>1.006119327</v>
      </c>
      <c r="F45" s="1">
        <f t="shared" si="11"/>
        <v>1</v>
      </c>
      <c r="G45" s="1">
        <f t="shared" si="12"/>
        <v>0.9816625917</v>
      </c>
      <c r="H45" s="1">
        <f t="shared" si="13"/>
        <v>0.9857285929</v>
      </c>
      <c r="I45" s="1">
        <f t="shared" si="14"/>
        <v>0.9682844786</v>
      </c>
      <c r="J45" s="1">
        <f t="shared" si="15"/>
        <v>0.9764763538</v>
      </c>
      <c r="K45" s="1">
        <f t="shared" si="16"/>
        <v>0.9780434252</v>
      </c>
      <c r="L45" s="1">
        <f t="shared" si="17"/>
        <v>0.9741760944</v>
      </c>
      <c r="M45" s="1">
        <f t="shared" si="18"/>
        <v>0.9733201581</v>
      </c>
      <c r="N45" s="1">
        <f t="shared" si="19"/>
        <v>0.976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">
        <f t="shared" si="8"/>
        <v>0.9839244705</v>
      </c>
      <c r="D46" s="1">
        <f t="shared" si="9"/>
        <v>0.9815289892</v>
      </c>
      <c r="E46" s="1">
        <f t="shared" si="10"/>
        <v>0.983936767</v>
      </c>
      <c r="F46" s="1">
        <f t="shared" si="11"/>
        <v>0.9717542121</v>
      </c>
      <c r="G46" s="1">
        <f t="shared" si="12"/>
        <v>0.9457212714</v>
      </c>
      <c r="H46" s="1">
        <f t="shared" si="13"/>
        <v>0.9646970456</v>
      </c>
      <c r="I46" s="1">
        <f t="shared" si="14"/>
        <v>0.9329649207</v>
      </c>
      <c r="J46" s="1">
        <f t="shared" si="15"/>
        <v>0.9264886057</v>
      </c>
      <c r="K46" s="1">
        <f t="shared" si="16"/>
        <v>0.9282751891</v>
      </c>
      <c r="L46" s="1">
        <f t="shared" si="17"/>
        <v>0.9498278406</v>
      </c>
      <c r="M46" s="1">
        <f t="shared" si="18"/>
        <v>0.9421936759</v>
      </c>
      <c r="N46" s="1">
        <f t="shared" si="19"/>
        <v>0.94975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1">
        <f t="shared" si="8"/>
        <v>0.7573360551</v>
      </c>
      <c r="D47" s="1">
        <f t="shared" si="9"/>
        <v>0.5105182145</v>
      </c>
      <c r="E47" s="1">
        <f t="shared" si="10"/>
        <v>0.4951555329</v>
      </c>
      <c r="F47" s="1">
        <f t="shared" si="11"/>
        <v>0.6729435084</v>
      </c>
      <c r="G47" s="1">
        <f t="shared" si="12"/>
        <v>0.1616136919</v>
      </c>
      <c r="H47" s="1">
        <f t="shared" si="13"/>
        <v>0.120430646</v>
      </c>
      <c r="I47" s="1">
        <f t="shared" si="14"/>
        <v>0.2222489188</v>
      </c>
      <c r="J47" s="1">
        <f t="shared" si="15"/>
        <v>0.07008086253</v>
      </c>
      <c r="K47" s="1">
        <f t="shared" si="16"/>
        <v>0.06391802879</v>
      </c>
      <c r="L47" s="1">
        <f t="shared" si="17"/>
        <v>0.3971962617</v>
      </c>
      <c r="M47" s="1">
        <f t="shared" si="18"/>
        <v>0.7324604743</v>
      </c>
      <c r="N47" s="1">
        <f t="shared" si="19"/>
        <v>0.8515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">
        <f t="shared" si="8"/>
        <v>0.01709619801</v>
      </c>
      <c r="D48" s="1">
        <f t="shared" si="9"/>
        <v>0.01641867624</v>
      </c>
      <c r="E48" s="1">
        <f t="shared" si="10"/>
        <v>0.02473227945</v>
      </c>
      <c r="F48" s="1">
        <f t="shared" si="11"/>
        <v>0.06119920714</v>
      </c>
      <c r="G48" s="1">
        <f t="shared" si="12"/>
        <v>0.05232273839</v>
      </c>
      <c r="H48" s="1">
        <f t="shared" si="13"/>
        <v>0.03855783676</v>
      </c>
      <c r="I48" s="1">
        <f t="shared" si="14"/>
        <v>0.002402691014</v>
      </c>
      <c r="J48" s="1">
        <f t="shared" si="15"/>
        <v>-0.001225189904</v>
      </c>
      <c r="K48" s="1">
        <f t="shared" si="16"/>
        <v>-0.001951695535</v>
      </c>
      <c r="L48" s="1">
        <f t="shared" si="17"/>
        <v>0.005410723069</v>
      </c>
      <c r="M48" s="1">
        <f t="shared" si="18"/>
        <v>0.009881422925</v>
      </c>
      <c r="N48" s="1">
        <f t="shared" si="19"/>
        <v>0.025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">
        <f t="shared" si="8"/>
        <v>0.002551671345</v>
      </c>
      <c r="D49" s="1">
        <f t="shared" si="9"/>
        <v>0.007183170857</v>
      </c>
      <c r="E49" s="1">
        <f t="shared" si="10"/>
        <v>0.0293217746</v>
      </c>
      <c r="F49" s="1">
        <f t="shared" si="11"/>
        <v>0.05079286422</v>
      </c>
      <c r="G49" s="1">
        <f t="shared" si="12"/>
        <v>0.0369193154</v>
      </c>
      <c r="H49" s="1">
        <f t="shared" si="13"/>
        <v>-0.001251877817</v>
      </c>
      <c r="I49" s="1">
        <f t="shared" si="14"/>
        <v>-0.002642960115</v>
      </c>
      <c r="J49" s="1">
        <f t="shared" si="15"/>
        <v>-0.003430531732</v>
      </c>
      <c r="K49" s="1">
        <f t="shared" si="16"/>
        <v>-0.002683581361</v>
      </c>
      <c r="L49" s="1">
        <f t="shared" si="17"/>
        <v>-0.002705361535</v>
      </c>
      <c r="M49" s="1">
        <f t="shared" si="18"/>
        <v>-0.002717391304</v>
      </c>
      <c r="N49" s="1">
        <f t="shared" si="19"/>
        <v>-0.00275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">
        <f t="shared" si="8"/>
        <v>0.0002551671345</v>
      </c>
      <c r="D50" s="1">
        <f t="shared" si="9"/>
        <v>-0.001282709082</v>
      </c>
      <c r="E50" s="1">
        <f t="shared" si="10"/>
        <v>-0.001274859765</v>
      </c>
      <c r="F50" s="1">
        <f t="shared" si="11"/>
        <v>-0.0004955401388</v>
      </c>
      <c r="G50" s="1">
        <f t="shared" si="12"/>
        <v>0.0002444987775</v>
      </c>
      <c r="H50" s="1">
        <f t="shared" si="13"/>
        <v>-0.0005007511267</v>
      </c>
      <c r="I50" s="1">
        <f t="shared" si="14"/>
        <v>-0.001922152811</v>
      </c>
      <c r="J50" s="1">
        <f t="shared" si="15"/>
        <v>-0.001960303847</v>
      </c>
      <c r="K50" s="1">
        <f t="shared" si="16"/>
        <v>-0.001951695535</v>
      </c>
      <c r="L50" s="1">
        <f t="shared" si="17"/>
        <v>-0.001967535662</v>
      </c>
      <c r="M50" s="1">
        <f t="shared" si="18"/>
        <v>-0.002717391304</v>
      </c>
      <c r="N50" s="1">
        <f t="shared" si="19"/>
        <v>0.00625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Biotek2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