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3" sheetId="1" r:id="rId4"/>
    <sheet state="visible" name="c3-1" sheetId="2" r:id="rId5"/>
    <sheet state="visible" name="c3-2" sheetId="3" r:id="rId6"/>
    <sheet state="visible" name="SKN1.2" sheetId="4" r:id="rId7"/>
    <sheet state="visible" name="Plate 5 - Sheet1" sheetId="5" r:id="rId8"/>
    <sheet state="visible" name="Plate 6 - Sheet1" sheetId="6" r:id="rId9"/>
  </sheets>
  <definedNames>
    <definedName name="MethodPointer1">450658928</definedName>
    <definedName name="MethodPointer2">431</definedName>
  </definedNames>
  <calcPr/>
  <extLst>
    <ext uri="GoogleSheetsCustomDataVersion2">
      <go:sheetsCustomData xmlns:go="http://customooxmlschemas.google.com/" r:id="rId10" roundtripDataChecksum="slutLNydTSTSj4vb0arl3Jds0mf7HLdRuEhN0pn4z2g="/>
    </ext>
  </extLst>
</workbook>
</file>

<file path=xl/sharedStrings.xml><?xml version="1.0" encoding="utf-8"?>
<sst xmlns="http://schemas.openxmlformats.org/spreadsheetml/2006/main" count="920" uniqueCount="166">
  <si>
    <t>Software Version</t>
  </si>
  <si>
    <t>3.10.06</t>
  </si>
  <si>
    <t>Experiment File Path:</t>
  </si>
  <si>
    <t>C:\Users\user1\Desktop\Erika\2025_11_01_MIC_SKN1.2_C3.xpt</t>
  </si>
  <si>
    <t>Protocol File Path:</t>
  </si>
  <si>
    <t>C:\Users\Public\Documents\Protocols\InitialOD.prt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</si>
  <si>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</si>
  <si>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</si>
  <si>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</si>
  <si>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</si>
  <si>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</si>
  <si>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</si>
  <si>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</si>
  <si>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</si>
  <si>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</si>
  <si>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</si>
  <si>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</si>
  <si>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</si>
  <si>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</si>
  <si>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</si>
  <si>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</si>
  <si>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</si>
  <si>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</si>
  <si>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</si>
  <si>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</si>
  <si>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</si>
  <si>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</si>
  <si>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</si>
  <si>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</si>
  <si>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</si>
  <si>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</si>
  <si>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</si>
  <si>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</si>
  <si>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</si>
  <si>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</si>
  <si>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</si>
  <si>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</si>
  <si>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</si>
  <si>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</si>
  <si>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</si>
  <si>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</si>
  <si>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</si>
  <si>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</si>
  <si>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</si>
  <si>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</si>
  <si>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</si>
  <si>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</si>
  <si>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</si>
  <si>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</si>
  <si>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</si>
  <si>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</si>
  <si>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</si>
  <si>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</si>
  <si>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</si>
  <si>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</si>
  <si>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</si>
  <si>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</si>
  <si>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</si>
  <si>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</si>
  <si>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</si>
  <si>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</si>
  <si>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</si>
  <si>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</si>
  <si>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</si>
  <si>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</si>
  <si>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</si>
  <si>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</si>
  <si>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</si>
  <si>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</si>
  <si>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</si>
  <si>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</si>
  <si>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</si>
  <si>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</si>
  <si>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</si>
  <si>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</si>
  <si>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</si>
  <si>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</si>
  <si>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</si>
  <si>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</si>
  <si>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</si>
  <si>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</si>
  <si>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</si>
  <si>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</si>
  <si>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</si>
  <si>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</si>
  <si>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</si>
  <si>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</si>
  <si>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</si>
  <si>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</si>
  <si>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</si>
  <si>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</si>
  <si>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</si>
  <si>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</si>
  <si>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</si>
  <si>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</si>
  <si>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</si>
  <si>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</si>
  <si>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</si>
  <si>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</si>
  <si>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</si>
  <si>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</si>
  <si>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</si>
  <si>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</si>
  <si>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</si>
  <si>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</si>
  <si>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</si>
  <si>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</si>
  <si>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</si>
  <si>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</si>
  <si>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</si>
  <si>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</si>
  <si>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</si>
  <si>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</si>
  <si>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</si>
  <si>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</si>
  <si>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</si>
  <si>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</si>
  <si>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</si>
  <si>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</si>
  <si>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</si>
  <si>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</si>
  <si>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</si>
  <si>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</si>
  <si>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</si>
  <si>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</si>
  <si>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</si>
  <si>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</si>
  <si>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</si>
  <si>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</si>
  <si>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</si>
  <si>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Results</t>
  </si>
  <si>
    <t>Actual Temperature:</t>
  </si>
  <si>
    <t>C1</t>
  </si>
  <si>
    <t>C5</t>
  </si>
  <si>
    <t>C9</t>
  </si>
  <si>
    <t>C13</t>
  </si>
  <si>
    <t>C18</t>
  </si>
  <si>
    <t>C19</t>
  </si>
  <si>
    <t>C25</t>
  </si>
  <si>
    <t>C27</t>
  </si>
  <si>
    <t>FLC</t>
  </si>
  <si>
    <t>no drug</t>
  </si>
  <si>
    <r>
      <rPr>
        <rFont val="Arial"/>
        <color theme="1"/>
      </rPr>
      <t xml:space="preserve">0.125 </t>
    </r>
    <r>
      <rPr>
        <rFont val="Aptos Narrow"/>
        <color theme="1"/>
        <sz val="10.0"/>
      </rPr>
      <t>μg/ml</t>
    </r>
  </si>
  <si>
    <t>0.25 μg/ml</t>
  </si>
  <si>
    <t>0.5 μg/ml</t>
  </si>
  <si>
    <t>1 μg/ml</t>
  </si>
  <si>
    <t>2 μg/ml</t>
  </si>
  <si>
    <t>4 μg/ml</t>
  </si>
  <si>
    <t>Plate 2</t>
  </si>
  <si>
    <t>Plate 3</t>
  </si>
  <si>
    <t>Plate 4</t>
  </si>
  <si>
    <t>MCF</t>
  </si>
  <si>
    <t>C46</t>
  </si>
  <si>
    <t>C47</t>
  </si>
  <si>
    <t>C50</t>
  </si>
  <si>
    <t>C51</t>
  </si>
  <si>
    <t>C57</t>
  </si>
  <si>
    <t>C58</t>
  </si>
  <si>
    <t>0.004 μg/ml</t>
  </si>
  <si>
    <t>0.008 μg/ml</t>
  </si>
  <si>
    <t>0.016 μg/ml</t>
  </si>
  <si>
    <t>0.032 μg/ml</t>
  </si>
  <si>
    <t>0.064 μg/ml</t>
  </si>
  <si>
    <t>0.128 μg/ml</t>
  </si>
  <si>
    <t>Plate 5</t>
  </si>
  <si>
    <t>Plate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</si>
</sst>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  <font>
      <color rgb="FF27413E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A6CAF0"/>
        <bgColor rgb="FFA6CAF0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428EC7"/>
        <bgColor rgb="FF428EC7"/>
      </patternFill>
    </fill>
    <fill>
      <patternFill patternType="solid">
        <fgColor rgb="FFBAD7EF"/>
        <bgColor rgb="FFBAD7EF"/>
      </patternFill>
    </fill>
    <fill>
      <patternFill patternType="solid">
        <fgColor rgb="FFC9E0F4"/>
        <bgColor rgb="FFC9E0F4"/>
      </patternFill>
    </fill>
    <fill>
      <patternFill patternType="solid">
        <fgColor rgb="FFD8E9F9"/>
        <bgColor rgb="FFD8E9F9"/>
      </patternFill>
    </fill>
    <fill>
      <patternFill patternType="solid">
        <fgColor rgb="FFABCEEA"/>
        <bgColor rgb="FFABCEEA"/>
      </patternFill>
    </fill>
    <fill>
      <patternFill patternType="solid">
        <fgColor rgb="FF5197CC"/>
        <bgColor rgb="FF5197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2" fontId="7" numFmtId="0" xfId="0" applyAlignment="1" applyBorder="1" applyFont="1">
      <alignment horizontal="center" shrinkToFit="0" wrapText="1"/>
    </xf>
    <xf borderId="1" fillId="2" fontId="7" numFmtId="164" xfId="0" applyAlignment="1" applyBorder="1" applyFont="1" applyNumberFormat="1">
      <alignment horizontal="center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15" width="8.63"/>
    <col customWidth="1" min="16" max="16" width="10.88"/>
    <col customWidth="1" min="17" max="28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1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2">
        <v>45967.0</v>
      </c>
    </row>
    <row r="8" ht="12.75" customHeight="1">
      <c r="A8" s="1" t="s">
        <v>9</v>
      </c>
      <c r="B8" s="3">
        <v>0.6676273148148147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1803065.0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4" t="s">
        <v>15</v>
      </c>
      <c r="B13" s="5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4" t="s">
        <v>24</v>
      </c>
      <c r="B21" s="5"/>
    </row>
    <row r="22" ht="12.75" customHeight="1"/>
    <row r="23" ht="12.75" customHeight="1"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</row>
    <row r="24" ht="12.75" customHeight="1"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</row>
    <row r="25" ht="12.75" customHeight="1"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</row>
    <row r="26" ht="12.75" customHeight="1"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</row>
    <row r="27" ht="12.75" customHeight="1"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</row>
    <row r="28" ht="12.75" customHeight="1"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</row>
    <row r="29" ht="12.75" customHeight="1"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</row>
    <row r="30" ht="12.75" customHeight="1"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</row>
    <row r="31" ht="12.75" customHeight="1"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</row>
    <row r="32" ht="12.75" customHeight="1"/>
    <row r="33" ht="12.75" customHeight="1">
      <c r="A33" s="4" t="s">
        <v>130</v>
      </c>
      <c r="B33" s="5"/>
    </row>
    <row r="34" ht="12.75" customHeight="1">
      <c r="A34" s="1" t="s">
        <v>131</v>
      </c>
      <c r="B34" s="1">
        <v>29.9</v>
      </c>
    </row>
    <row r="35" ht="12.75" customHeight="1"/>
    <row r="36" ht="12.75" customHeight="1"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</row>
    <row r="37" ht="12.75" customHeight="1">
      <c r="B37" s="7" t="s">
        <v>25</v>
      </c>
      <c r="C37" s="10">
        <v>0.101</v>
      </c>
      <c r="D37" s="10">
        <v>0.1</v>
      </c>
      <c r="E37" s="10">
        <v>0.102</v>
      </c>
      <c r="F37" s="10">
        <v>0.101</v>
      </c>
      <c r="G37" s="10">
        <v>0.102</v>
      </c>
      <c r="H37" s="10">
        <v>0.101</v>
      </c>
      <c r="I37" s="10">
        <v>0.1</v>
      </c>
      <c r="J37" s="10">
        <v>0.103</v>
      </c>
      <c r="K37" s="10">
        <v>0.101</v>
      </c>
      <c r="L37" s="10">
        <v>0.102</v>
      </c>
      <c r="M37" s="10">
        <v>0.101</v>
      </c>
      <c r="N37" s="10">
        <v>0.1</v>
      </c>
      <c r="O37" s="9">
        <v>600.0</v>
      </c>
      <c r="P37" s="1">
        <f>AVERAGE(C37:N37)</f>
        <v>0.1011666667</v>
      </c>
    </row>
    <row r="38" ht="12.75" customHeight="1">
      <c r="B38" s="7" t="s">
        <v>39</v>
      </c>
      <c r="C38" s="11">
        <v>1.083</v>
      </c>
      <c r="D38" s="11">
        <v>1.122</v>
      </c>
      <c r="E38" s="11">
        <v>1.14</v>
      </c>
      <c r="F38" s="11">
        <v>1.139</v>
      </c>
      <c r="G38" s="11">
        <v>1.116</v>
      </c>
      <c r="H38" s="11">
        <v>1.136</v>
      </c>
      <c r="I38" s="11">
        <v>1.154</v>
      </c>
      <c r="J38" s="11">
        <v>1.139</v>
      </c>
      <c r="K38" s="11">
        <v>1.136</v>
      </c>
      <c r="L38" s="11">
        <v>1.094</v>
      </c>
      <c r="M38" s="11">
        <v>1.113</v>
      </c>
      <c r="N38" s="11">
        <v>1.101</v>
      </c>
      <c r="O38" s="9">
        <v>600.0</v>
      </c>
    </row>
    <row r="39" ht="12.75" customHeight="1">
      <c r="B39" s="7" t="s">
        <v>52</v>
      </c>
      <c r="C39" s="11">
        <v>1.12</v>
      </c>
      <c r="D39" s="11">
        <v>1.143</v>
      </c>
      <c r="E39" s="11">
        <v>1.132</v>
      </c>
      <c r="F39" s="11">
        <v>1.13</v>
      </c>
      <c r="G39" s="11">
        <v>1.08</v>
      </c>
      <c r="H39" s="11">
        <v>1.101</v>
      </c>
      <c r="I39" s="12">
        <v>1.048</v>
      </c>
      <c r="J39" s="12">
        <v>1.02</v>
      </c>
      <c r="K39" s="12">
        <v>1.056</v>
      </c>
      <c r="L39" s="13">
        <v>0.99</v>
      </c>
      <c r="M39" s="11">
        <v>1.08</v>
      </c>
      <c r="N39" s="13">
        <v>0.989</v>
      </c>
      <c r="O39" s="9">
        <v>600.0</v>
      </c>
    </row>
    <row r="40" ht="12.75" customHeight="1">
      <c r="B40" s="7" t="s">
        <v>65</v>
      </c>
      <c r="C40" s="11">
        <v>1.099</v>
      </c>
      <c r="D40" s="11">
        <v>1.129</v>
      </c>
      <c r="E40" s="11">
        <v>1.139</v>
      </c>
      <c r="F40" s="11">
        <v>1.114</v>
      </c>
      <c r="G40" s="11">
        <v>1.128</v>
      </c>
      <c r="H40" s="11">
        <v>1.154</v>
      </c>
      <c r="I40" s="11">
        <v>1.129</v>
      </c>
      <c r="J40" s="11">
        <v>1.152</v>
      </c>
      <c r="K40" s="11">
        <v>1.154</v>
      </c>
      <c r="L40" s="12">
        <v>1.075</v>
      </c>
      <c r="M40" s="11">
        <v>1.11</v>
      </c>
      <c r="N40" s="11">
        <v>1.083</v>
      </c>
      <c r="O40" s="9">
        <v>600.0</v>
      </c>
    </row>
    <row r="41" ht="12.75" customHeight="1">
      <c r="B41" s="7" t="s">
        <v>78</v>
      </c>
      <c r="C41" s="13">
        <v>0.937</v>
      </c>
      <c r="D41" s="13">
        <v>0.97</v>
      </c>
      <c r="E41" s="12">
        <v>1.049</v>
      </c>
      <c r="F41" s="14">
        <v>0.355</v>
      </c>
      <c r="G41" s="11">
        <v>1.11</v>
      </c>
      <c r="H41" s="11">
        <v>1.088</v>
      </c>
      <c r="I41" s="15">
        <v>0.296</v>
      </c>
      <c r="J41" s="11">
        <v>1.09</v>
      </c>
      <c r="K41" s="11">
        <v>1.128</v>
      </c>
      <c r="L41" s="14">
        <v>0.364</v>
      </c>
      <c r="M41" s="12">
        <v>1.055</v>
      </c>
      <c r="N41" s="12">
        <v>1.041</v>
      </c>
      <c r="O41" s="9">
        <v>600.0</v>
      </c>
    </row>
    <row r="42" ht="12.75" customHeight="1">
      <c r="B42" s="7" t="s">
        <v>91</v>
      </c>
      <c r="C42" s="13">
        <v>0.989</v>
      </c>
      <c r="D42" s="12">
        <v>1.027</v>
      </c>
      <c r="E42" s="12">
        <v>1.067</v>
      </c>
      <c r="F42" s="16">
        <v>0.249</v>
      </c>
      <c r="G42" s="14">
        <v>0.334</v>
      </c>
      <c r="H42" s="14">
        <v>0.369</v>
      </c>
      <c r="I42" s="16">
        <v>0.249</v>
      </c>
      <c r="J42" s="17">
        <v>0.405</v>
      </c>
      <c r="K42" s="17">
        <v>0.406</v>
      </c>
      <c r="L42" s="16">
        <v>0.232</v>
      </c>
      <c r="M42" s="15">
        <v>0.321</v>
      </c>
      <c r="N42" s="14">
        <v>0.352</v>
      </c>
      <c r="O42" s="9">
        <v>600.0</v>
      </c>
    </row>
    <row r="43" ht="12.75" customHeight="1">
      <c r="B43" s="7" t="s">
        <v>104</v>
      </c>
      <c r="C43" s="18">
        <v>0.908</v>
      </c>
      <c r="D43" s="13">
        <v>0.948</v>
      </c>
      <c r="E43" s="12">
        <v>1.008</v>
      </c>
      <c r="F43" s="16">
        <v>0.184</v>
      </c>
      <c r="G43" s="15">
        <v>0.263</v>
      </c>
      <c r="H43" s="15">
        <v>0.257</v>
      </c>
      <c r="I43" s="16">
        <v>0.227</v>
      </c>
      <c r="J43" s="16">
        <v>0.246</v>
      </c>
      <c r="K43" s="16">
        <v>0.238</v>
      </c>
      <c r="L43" s="16">
        <v>0.207</v>
      </c>
      <c r="M43" s="16">
        <v>0.219</v>
      </c>
      <c r="N43" s="16">
        <v>0.224</v>
      </c>
      <c r="O43" s="9">
        <v>600.0</v>
      </c>
    </row>
    <row r="44" ht="12.75" customHeight="1">
      <c r="B44" s="7" t="s">
        <v>117</v>
      </c>
      <c r="C44" s="16">
        <v>0.226</v>
      </c>
      <c r="D44" s="15">
        <v>0.276</v>
      </c>
      <c r="E44" s="15">
        <v>0.281</v>
      </c>
      <c r="F44" s="10">
        <v>0.167</v>
      </c>
      <c r="G44" s="16">
        <v>0.218</v>
      </c>
      <c r="H44" s="16">
        <v>0.212</v>
      </c>
      <c r="I44" s="16">
        <v>0.231</v>
      </c>
      <c r="J44" s="16">
        <v>0.235</v>
      </c>
      <c r="K44" s="16">
        <v>0.231</v>
      </c>
      <c r="L44" s="16">
        <v>0.189</v>
      </c>
      <c r="M44" s="16">
        <v>0.197</v>
      </c>
      <c r="N44" s="16">
        <v>0.209</v>
      </c>
      <c r="O44" s="9">
        <v>600.0</v>
      </c>
    </row>
    <row r="45" ht="12.75" customHeight="1"/>
    <row r="46" ht="12.75" customHeight="1"/>
    <row r="47" ht="12.75" customHeight="1">
      <c r="C47" s="1">
        <f t="shared" ref="C47:N47" si="1">C38-$P$37</f>
        <v>0.9818333333</v>
      </c>
      <c r="D47" s="1">
        <f t="shared" si="1"/>
        <v>1.020833333</v>
      </c>
      <c r="E47" s="1">
        <f t="shared" si="1"/>
        <v>1.038833333</v>
      </c>
      <c r="F47" s="1">
        <f t="shared" si="1"/>
        <v>1.037833333</v>
      </c>
      <c r="G47" s="1">
        <f t="shared" si="1"/>
        <v>1.014833333</v>
      </c>
      <c r="H47" s="1">
        <f t="shared" si="1"/>
        <v>1.034833333</v>
      </c>
      <c r="I47" s="1">
        <f t="shared" si="1"/>
        <v>1.052833333</v>
      </c>
      <c r="J47" s="1">
        <f t="shared" si="1"/>
        <v>1.037833333</v>
      </c>
      <c r="K47" s="1">
        <f t="shared" si="1"/>
        <v>1.034833333</v>
      </c>
      <c r="L47" s="1">
        <f t="shared" si="1"/>
        <v>0.9928333333</v>
      </c>
      <c r="M47" s="1">
        <f t="shared" si="1"/>
        <v>1.011833333</v>
      </c>
      <c r="N47" s="1">
        <f t="shared" si="1"/>
        <v>0.9998333333</v>
      </c>
    </row>
    <row r="48" ht="12.75" customHeight="1">
      <c r="C48" s="1">
        <f t="shared" ref="C48:N48" si="2">C39-$P$37</f>
        <v>1.018833333</v>
      </c>
      <c r="D48" s="1">
        <f t="shared" si="2"/>
        <v>1.041833333</v>
      </c>
      <c r="E48" s="1">
        <f t="shared" si="2"/>
        <v>1.030833333</v>
      </c>
      <c r="F48" s="1">
        <f t="shared" si="2"/>
        <v>1.028833333</v>
      </c>
      <c r="G48" s="1">
        <f t="shared" si="2"/>
        <v>0.9788333333</v>
      </c>
      <c r="H48" s="1">
        <f t="shared" si="2"/>
        <v>0.9998333333</v>
      </c>
      <c r="I48" s="1">
        <f t="shared" si="2"/>
        <v>0.9468333333</v>
      </c>
      <c r="J48" s="1">
        <f t="shared" si="2"/>
        <v>0.9188333333</v>
      </c>
      <c r="K48" s="1">
        <f t="shared" si="2"/>
        <v>0.9548333333</v>
      </c>
      <c r="L48" s="1">
        <f t="shared" si="2"/>
        <v>0.8888333333</v>
      </c>
      <c r="M48" s="1">
        <f t="shared" si="2"/>
        <v>0.9788333333</v>
      </c>
      <c r="N48" s="1">
        <f t="shared" si="2"/>
        <v>0.8878333333</v>
      </c>
    </row>
    <row r="49" ht="12.75" customHeight="1">
      <c r="C49" s="1">
        <f t="shared" ref="C49:N49" si="3">C40-$P$37</f>
        <v>0.9978333333</v>
      </c>
      <c r="D49" s="1">
        <f t="shared" si="3"/>
        <v>1.027833333</v>
      </c>
      <c r="E49" s="1">
        <f t="shared" si="3"/>
        <v>1.037833333</v>
      </c>
      <c r="F49" s="1">
        <f t="shared" si="3"/>
        <v>1.012833333</v>
      </c>
      <c r="G49" s="1">
        <f t="shared" si="3"/>
        <v>1.026833333</v>
      </c>
      <c r="H49" s="1">
        <f t="shared" si="3"/>
        <v>1.052833333</v>
      </c>
      <c r="I49" s="1">
        <f t="shared" si="3"/>
        <v>1.027833333</v>
      </c>
      <c r="J49" s="1">
        <f t="shared" si="3"/>
        <v>1.050833333</v>
      </c>
      <c r="K49" s="1">
        <f t="shared" si="3"/>
        <v>1.052833333</v>
      </c>
      <c r="L49" s="1">
        <f t="shared" si="3"/>
        <v>0.9738333333</v>
      </c>
      <c r="M49" s="1">
        <f t="shared" si="3"/>
        <v>1.008833333</v>
      </c>
      <c r="N49" s="1">
        <f t="shared" si="3"/>
        <v>0.9818333333</v>
      </c>
    </row>
    <row r="50" ht="12.75" customHeight="1">
      <c r="C50" s="1">
        <f t="shared" ref="C50:N50" si="4">C41-$P$37</f>
        <v>0.8358333333</v>
      </c>
      <c r="D50" s="1">
        <f t="shared" si="4"/>
        <v>0.8688333333</v>
      </c>
      <c r="E50" s="1">
        <f t="shared" si="4"/>
        <v>0.9478333333</v>
      </c>
      <c r="F50" s="1">
        <f t="shared" si="4"/>
        <v>0.2538333333</v>
      </c>
      <c r="G50" s="1">
        <f t="shared" si="4"/>
        <v>1.008833333</v>
      </c>
      <c r="H50" s="1">
        <f t="shared" si="4"/>
        <v>0.9868333333</v>
      </c>
      <c r="I50" s="1">
        <f t="shared" si="4"/>
        <v>0.1948333333</v>
      </c>
      <c r="J50" s="1">
        <f t="shared" si="4"/>
        <v>0.9888333333</v>
      </c>
      <c r="K50" s="1">
        <f t="shared" si="4"/>
        <v>1.026833333</v>
      </c>
      <c r="L50" s="1">
        <f t="shared" si="4"/>
        <v>0.2628333333</v>
      </c>
      <c r="M50" s="1">
        <f t="shared" si="4"/>
        <v>0.9538333333</v>
      </c>
      <c r="N50" s="1">
        <f t="shared" si="4"/>
        <v>0.9398333333</v>
      </c>
    </row>
    <row r="51" ht="12.75" customHeight="1">
      <c r="C51" s="1">
        <f t="shared" ref="C51:N51" si="5">C42-$P$37</f>
        <v>0.8878333333</v>
      </c>
      <c r="D51" s="1">
        <f t="shared" si="5"/>
        <v>0.9258333333</v>
      </c>
      <c r="E51" s="1">
        <f t="shared" si="5"/>
        <v>0.9658333333</v>
      </c>
      <c r="F51" s="1">
        <f t="shared" si="5"/>
        <v>0.1478333333</v>
      </c>
      <c r="G51" s="1">
        <f t="shared" si="5"/>
        <v>0.2328333333</v>
      </c>
      <c r="H51" s="1">
        <f t="shared" si="5"/>
        <v>0.2678333333</v>
      </c>
      <c r="I51" s="1">
        <f t="shared" si="5"/>
        <v>0.1478333333</v>
      </c>
      <c r="J51" s="1">
        <f t="shared" si="5"/>
        <v>0.3038333333</v>
      </c>
      <c r="K51" s="1">
        <f t="shared" si="5"/>
        <v>0.3048333333</v>
      </c>
      <c r="L51" s="1">
        <f t="shared" si="5"/>
        <v>0.1308333333</v>
      </c>
      <c r="M51" s="1">
        <f t="shared" si="5"/>
        <v>0.2198333333</v>
      </c>
      <c r="N51" s="1">
        <f t="shared" si="5"/>
        <v>0.2508333333</v>
      </c>
    </row>
    <row r="52" ht="12.75" customHeight="1">
      <c r="C52" s="1">
        <f t="shared" ref="C52:N52" si="6">C43-$P$37</f>
        <v>0.8068333333</v>
      </c>
      <c r="D52" s="1">
        <f t="shared" si="6"/>
        <v>0.8468333333</v>
      </c>
      <c r="E52" s="1">
        <f t="shared" si="6"/>
        <v>0.9068333333</v>
      </c>
      <c r="F52" s="1">
        <f t="shared" si="6"/>
        <v>0.08283333333</v>
      </c>
      <c r="G52" s="1">
        <f t="shared" si="6"/>
        <v>0.1618333333</v>
      </c>
      <c r="H52" s="1">
        <f t="shared" si="6"/>
        <v>0.1558333333</v>
      </c>
      <c r="I52" s="1">
        <f t="shared" si="6"/>
        <v>0.1258333333</v>
      </c>
      <c r="J52" s="1">
        <f t="shared" si="6"/>
        <v>0.1448333333</v>
      </c>
      <c r="K52" s="1">
        <f t="shared" si="6"/>
        <v>0.1368333333</v>
      </c>
      <c r="L52" s="1">
        <f t="shared" si="6"/>
        <v>0.1058333333</v>
      </c>
      <c r="M52" s="1">
        <f t="shared" si="6"/>
        <v>0.1178333333</v>
      </c>
      <c r="N52" s="1">
        <f t="shared" si="6"/>
        <v>0.1228333333</v>
      </c>
    </row>
    <row r="53" ht="12.75" customHeight="1">
      <c r="C53" s="1">
        <f t="shared" ref="C53:N53" si="7">C44-$P$37</f>
        <v>0.1248333333</v>
      </c>
      <c r="D53" s="1">
        <f t="shared" si="7"/>
        <v>0.1748333333</v>
      </c>
      <c r="E53" s="1">
        <f t="shared" si="7"/>
        <v>0.1798333333</v>
      </c>
      <c r="F53" s="1">
        <f t="shared" si="7"/>
        <v>0.06583333333</v>
      </c>
      <c r="G53" s="1">
        <f t="shared" si="7"/>
        <v>0.1168333333</v>
      </c>
      <c r="H53" s="1">
        <f t="shared" si="7"/>
        <v>0.1108333333</v>
      </c>
      <c r="I53" s="1">
        <f t="shared" si="7"/>
        <v>0.1298333333</v>
      </c>
      <c r="J53" s="1">
        <f t="shared" si="7"/>
        <v>0.1338333333</v>
      </c>
      <c r="K53" s="1">
        <f t="shared" si="7"/>
        <v>0.1298333333</v>
      </c>
      <c r="L53" s="1">
        <f t="shared" si="7"/>
        <v>0.08783333333</v>
      </c>
      <c r="M53" s="1">
        <f t="shared" si="7"/>
        <v>0.09583333333</v>
      </c>
      <c r="N53" s="1">
        <f t="shared" si="7"/>
        <v>0.1078333333</v>
      </c>
    </row>
    <row r="54" ht="12.75" customHeight="1"/>
    <row r="55" ht="12.75" customHeight="1">
      <c r="C55" s="19">
        <v>2868.0</v>
      </c>
      <c r="D55" s="19" t="s">
        <v>132</v>
      </c>
      <c r="E55" s="19" t="s">
        <v>133</v>
      </c>
      <c r="F55" s="19">
        <v>2875.0</v>
      </c>
      <c r="G55" s="19" t="s">
        <v>134</v>
      </c>
      <c r="H55" s="19" t="s">
        <v>135</v>
      </c>
      <c r="I55" s="19">
        <v>2876.0</v>
      </c>
      <c r="J55" s="19" t="s">
        <v>136</v>
      </c>
      <c r="K55" s="19" t="s">
        <v>137</v>
      </c>
      <c r="L55" s="19">
        <v>5192.0</v>
      </c>
      <c r="M55" s="19" t="s">
        <v>138</v>
      </c>
      <c r="N55" s="19" t="s">
        <v>139</v>
      </c>
    </row>
    <row r="56" ht="12.75" customHeight="1">
      <c r="C56" s="1">
        <f t="shared" ref="C56:C62" si="8">C47/$C$47</f>
        <v>1</v>
      </c>
      <c r="D56" s="1">
        <f t="shared" ref="D56:D62" si="9">D47/$D$47</f>
        <v>1</v>
      </c>
      <c r="E56" s="1">
        <f t="shared" ref="E56:E62" si="10">E47/$E$47</f>
        <v>1</v>
      </c>
      <c r="F56" s="1">
        <f t="shared" ref="F56:F62" si="11">F47/$F$47</f>
        <v>1</v>
      </c>
      <c r="G56" s="1">
        <f t="shared" ref="G56:G62" si="12">G47/$G$47</f>
        <v>1</v>
      </c>
      <c r="H56" s="1">
        <f t="shared" ref="H56:H62" si="13">H47/$H$47</f>
        <v>1</v>
      </c>
      <c r="I56" s="1">
        <f t="shared" ref="I56:I62" si="14">I47/$I$47</f>
        <v>1</v>
      </c>
      <c r="J56" s="1">
        <f t="shared" ref="J56:J62" si="15">J47/$J$47</f>
        <v>1</v>
      </c>
      <c r="K56" s="1">
        <f t="shared" ref="K56:K62" si="16">K47/$K$47</f>
        <v>1</v>
      </c>
      <c r="L56" s="1">
        <f t="shared" ref="L56:L62" si="17">L47/$L$47</f>
        <v>1</v>
      </c>
      <c r="M56" s="1">
        <f t="shared" ref="M56:M62" si="18">M47/$M$47</f>
        <v>1</v>
      </c>
      <c r="N56" s="1">
        <f t="shared" ref="N56:N62" si="19">N47/$N$47</f>
        <v>1</v>
      </c>
      <c r="P56" s="1" t="s">
        <v>140</v>
      </c>
      <c r="Q56" s="19">
        <v>2868.0</v>
      </c>
      <c r="R56" s="19" t="s">
        <v>132</v>
      </c>
      <c r="S56" s="19" t="s">
        <v>133</v>
      </c>
      <c r="T56" s="19">
        <v>2875.0</v>
      </c>
      <c r="U56" s="19" t="s">
        <v>134</v>
      </c>
      <c r="V56" s="19" t="s">
        <v>135</v>
      </c>
      <c r="W56" s="19">
        <v>2876.0</v>
      </c>
      <c r="X56" s="19" t="s">
        <v>136</v>
      </c>
      <c r="Y56" s="19" t="s">
        <v>137</v>
      </c>
      <c r="Z56" s="19">
        <v>5192.0</v>
      </c>
      <c r="AA56" s="19" t="s">
        <v>138</v>
      </c>
      <c r="AB56" s="19" t="s">
        <v>139</v>
      </c>
    </row>
    <row r="57" ht="12.75" customHeight="1">
      <c r="C57" s="1">
        <f t="shared" si="8"/>
        <v>1.037684604</v>
      </c>
      <c r="D57" s="1">
        <f t="shared" si="9"/>
        <v>1.020571429</v>
      </c>
      <c r="E57" s="1">
        <f t="shared" si="10"/>
        <v>0.9922990534</v>
      </c>
      <c r="F57" s="1">
        <f t="shared" si="11"/>
        <v>0.9913280874</v>
      </c>
      <c r="G57" s="1">
        <f t="shared" si="12"/>
        <v>0.9645261948</v>
      </c>
      <c r="H57" s="1">
        <f t="shared" si="13"/>
        <v>0.9661781285</v>
      </c>
      <c r="I57" s="1">
        <f t="shared" si="14"/>
        <v>0.8993192971</v>
      </c>
      <c r="J57" s="1">
        <f t="shared" si="15"/>
        <v>0.885338044</v>
      </c>
      <c r="K57" s="1">
        <f t="shared" si="16"/>
        <v>0.9226928652</v>
      </c>
      <c r="L57" s="1">
        <f t="shared" si="17"/>
        <v>0.8952492866</v>
      </c>
      <c r="M57" s="1">
        <f t="shared" si="18"/>
        <v>0.9673859331</v>
      </c>
      <c r="N57" s="1">
        <f t="shared" si="19"/>
        <v>0.8879813302</v>
      </c>
      <c r="P57" s="1" t="s">
        <v>141</v>
      </c>
      <c r="Q57" s="1">
        <f t="shared" ref="Q57:AB57" si="20">AVERAGE(C56,C65,C74)</f>
        <v>1</v>
      </c>
      <c r="R57" s="1">
        <f t="shared" si="20"/>
        <v>1</v>
      </c>
      <c r="S57" s="1">
        <f t="shared" si="20"/>
        <v>1</v>
      </c>
      <c r="T57" s="1">
        <f t="shared" si="20"/>
        <v>1</v>
      </c>
      <c r="U57" s="1">
        <f t="shared" si="20"/>
        <v>1</v>
      </c>
      <c r="V57" s="1">
        <f t="shared" si="20"/>
        <v>1</v>
      </c>
      <c r="W57" s="1">
        <f t="shared" si="20"/>
        <v>1</v>
      </c>
      <c r="X57" s="1">
        <f t="shared" si="20"/>
        <v>1</v>
      </c>
      <c r="Y57" s="1">
        <f t="shared" si="20"/>
        <v>1</v>
      </c>
      <c r="Z57" s="1">
        <f t="shared" si="20"/>
        <v>1</v>
      </c>
      <c r="AA57" s="1">
        <f t="shared" si="20"/>
        <v>1</v>
      </c>
      <c r="AB57" s="1">
        <f t="shared" si="20"/>
        <v>1</v>
      </c>
    </row>
    <row r="58" ht="12.75" customHeight="1">
      <c r="C58" s="1">
        <f t="shared" si="8"/>
        <v>1.016296045</v>
      </c>
      <c r="D58" s="1">
        <f t="shared" si="9"/>
        <v>1.006857143</v>
      </c>
      <c r="E58" s="1">
        <f t="shared" si="10"/>
        <v>0.9990373817</v>
      </c>
      <c r="F58" s="1">
        <f t="shared" si="11"/>
        <v>0.9759113538</v>
      </c>
      <c r="G58" s="1">
        <f t="shared" si="12"/>
        <v>1.011824602</v>
      </c>
      <c r="H58" s="1">
        <f t="shared" si="13"/>
        <v>1.017394105</v>
      </c>
      <c r="I58" s="1">
        <f t="shared" si="14"/>
        <v>0.9762545512</v>
      </c>
      <c r="J58" s="1">
        <f t="shared" si="15"/>
        <v>1.012526096</v>
      </c>
      <c r="K58" s="1">
        <f t="shared" si="16"/>
        <v>1.017394105</v>
      </c>
      <c r="L58" s="1">
        <f t="shared" si="17"/>
        <v>0.9808628504</v>
      </c>
      <c r="M58" s="1">
        <f t="shared" si="18"/>
        <v>0.9970350848</v>
      </c>
      <c r="N58" s="1">
        <f t="shared" si="19"/>
        <v>0.9819969995</v>
      </c>
      <c r="P58" s="1" t="s">
        <v>142</v>
      </c>
      <c r="Q58" s="1">
        <f t="shared" ref="Q58:AB58" si="21">AVERAGE(C57,C66,C75)</f>
        <v>0.9856743809</v>
      </c>
      <c r="R58" s="1">
        <f t="shared" si="21"/>
        <v>0.9795640479</v>
      </c>
      <c r="S58" s="1">
        <f t="shared" si="21"/>
        <v>0.9861843157</v>
      </c>
      <c r="T58" s="1">
        <f t="shared" si="21"/>
        <v>0.9743829996</v>
      </c>
      <c r="U58" s="1">
        <f t="shared" si="21"/>
        <v>0.9532714142</v>
      </c>
      <c r="V58" s="1">
        <f t="shared" si="21"/>
        <v>0.9703811812</v>
      </c>
      <c r="W58" s="1">
        <f t="shared" si="21"/>
        <v>0.9127227972</v>
      </c>
      <c r="X58" s="1">
        <f t="shared" si="21"/>
        <v>0.9301749304</v>
      </c>
      <c r="Y58" s="1">
        <f t="shared" si="21"/>
        <v>0.9367728552</v>
      </c>
      <c r="Z58" s="1">
        <f t="shared" si="21"/>
        <v>0.9129482193</v>
      </c>
      <c r="AA58" s="1">
        <f t="shared" si="21"/>
        <v>0.9686761517</v>
      </c>
      <c r="AB58" s="1">
        <f t="shared" si="21"/>
        <v>0.9506524339</v>
      </c>
    </row>
    <row r="59" ht="12.75" customHeight="1">
      <c r="C59" s="1">
        <f t="shared" si="8"/>
        <v>0.8512985911</v>
      </c>
      <c r="D59" s="1">
        <f t="shared" si="9"/>
        <v>0.8511020408</v>
      </c>
      <c r="E59" s="1">
        <f t="shared" si="10"/>
        <v>0.9124017327</v>
      </c>
      <c r="F59" s="1">
        <f t="shared" si="11"/>
        <v>0.2445800546</v>
      </c>
      <c r="G59" s="1">
        <f t="shared" si="12"/>
        <v>0.9940876991</v>
      </c>
      <c r="H59" s="1">
        <f t="shared" si="13"/>
        <v>0.9536157191</v>
      </c>
      <c r="I59" s="1">
        <f t="shared" si="14"/>
        <v>0.1850561976</v>
      </c>
      <c r="J59" s="1">
        <f t="shared" si="15"/>
        <v>0.9527862534</v>
      </c>
      <c r="K59" s="1">
        <f t="shared" si="16"/>
        <v>0.9922692865</v>
      </c>
      <c r="L59" s="1">
        <f t="shared" si="17"/>
        <v>0.2647305691</v>
      </c>
      <c r="M59" s="1">
        <f t="shared" si="18"/>
        <v>0.9426783067</v>
      </c>
      <c r="N59" s="1">
        <f t="shared" si="19"/>
        <v>0.9399899983</v>
      </c>
      <c r="P59" s="1" t="s">
        <v>143</v>
      </c>
      <c r="Q59" s="1">
        <f t="shared" ref="Q59:AB59" si="22">AVERAGE(C58,C67,C76)</f>
        <v>0.9984541404</v>
      </c>
      <c r="R59" s="1">
        <f t="shared" si="22"/>
        <v>0.9969588954</v>
      </c>
      <c r="S59" s="1">
        <f t="shared" si="22"/>
        <v>1.001241256</v>
      </c>
      <c r="T59" s="1">
        <f t="shared" si="22"/>
        <v>0.9792086271</v>
      </c>
      <c r="U59" s="1">
        <f t="shared" si="22"/>
        <v>0.9971147571</v>
      </c>
      <c r="V59" s="1">
        <f t="shared" si="22"/>
        <v>1.002699354</v>
      </c>
      <c r="W59" s="1">
        <f t="shared" si="22"/>
        <v>0.9729162945</v>
      </c>
      <c r="X59" s="1">
        <f t="shared" si="22"/>
        <v>0.9964653647</v>
      </c>
      <c r="Y59" s="1">
        <f t="shared" si="22"/>
        <v>0.9960076122</v>
      </c>
      <c r="Z59" s="1">
        <f t="shared" si="22"/>
        <v>0.9647111</v>
      </c>
      <c r="AA59" s="1">
        <f t="shared" si="22"/>
        <v>0.9863959582</v>
      </c>
      <c r="AB59" s="1">
        <f t="shared" si="22"/>
        <v>1.009159315</v>
      </c>
    </row>
    <row r="60" ht="12.75" customHeight="1">
      <c r="C60" s="1">
        <f t="shared" si="8"/>
        <v>0.9042607367</v>
      </c>
      <c r="D60" s="1">
        <f t="shared" si="9"/>
        <v>0.9069387755</v>
      </c>
      <c r="E60" s="1">
        <f t="shared" si="10"/>
        <v>0.9297288625</v>
      </c>
      <c r="F60" s="1">
        <f t="shared" si="11"/>
        <v>0.1424441946</v>
      </c>
      <c r="G60" s="1">
        <f t="shared" si="12"/>
        <v>0.2294301199</v>
      </c>
      <c r="H60" s="1">
        <f t="shared" si="13"/>
        <v>0.2588178451</v>
      </c>
      <c r="I60" s="1">
        <f t="shared" si="14"/>
        <v>0.1404147538</v>
      </c>
      <c r="J60" s="1">
        <f t="shared" si="15"/>
        <v>0.292757347</v>
      </c>
      <c r="K60" s="1">
        <f t="shared" si="16"/>
        <v>0.2945723949</v>
      </c>
      <c r="L60" s="1">
        <f t="shared" si="17"/>
        <v>0.1317777405</v>
      </c>
      <c r="M60" s="1">
        <f t="shared" si="18"/>
        <v>0.217262395</v>
      </c>
      <c r="N60" s="1">
        <f t="shared" si="19"/>
        <v>0.2508751459</v>
      </c>
      <c r="P60" s="1" t="s">
        <v>144</v>
      </c>
      <c r="Q60" s="1">
        <f t="shared" ref="Q60:AB60" si="23">AVERAGE(C59,C68,C77)</f>
        <v>0.9474191651</v>
      </c>
      <c r="R60" s="1">
        <f t="shared" si="23"/>
        <v>0.953549727</v>
      </c>
      <c r="S60" s="1">
        <f t="shared" si="23"/>
        <v>0.9734757961</v>
      </c>
      <c r="T60" s="1">
        <f t="shared" si="23"/>
        <v>0.2686506649</v>
      </c>
      <c r="U60" s="1">
        <f t="shared" si="23"/>
        <v>0.9803005754</v>
      </c>
      <c r="V60" s="1">
        <f t="shared" si="23"/>
        <v>0.9624896209</v>
      </c>
      <c r="W60" s="1">
        <f t="shared" si="23"/>
        <v>0.2126945801</v>
      </c>
      <c r="X60" s="1">
        <f t="shared" si="23"/>
        <v>0.9942864306</v>
      </c>
      <c r="Y60" s="1">
        <f t="shared" si="23"/>
        <v>0.9827323243</v>
      </c>
      <c r="Z60" s="1">
        <f t="shared" si="23"/>
        <v>0.2799431824</v>
      </c>
      <c r="AA60" s="1">
        <f t="shared" si="23"/>
        <v>0.9263455336</v>
      </c>
      <c r="AB60" s="1">
        <f t="shared" si="23"/>
        <v>0.9399540592</v>
      </c>
    </row>
    <row r="61" ht="12.75" customHeight="1">
      <c r="C61" s="1">
        <f t="shared" si="8"/>
        <v>0.8217620098</v>
      </c>
      <c r="D61" s="1">
        <f t="shared" si="9"/>
        <v>0.8295510204</v>
      </c>
      <c r="E61" s="1">
        <f t="shared" si="10"/>
        <v>0.8729343815</v>
      </c>
      <c r="F61" s="1">
        <f t="shared" si="11"/>
        <v>0.07981371447</v>
      </c>
      <c r="G61" s="1">
        <f t="shared" si="12"/>
        <v>0.1594678929</v>
      </c>
      <c r="H61" s="1">
        <f t="shared" si="13"/>
        <v>0.1505878563</v>
      </c>
      <c r="I61" s="1">
        <f t="shared" si="14"/>
        <v>0.1195187589</v>
      </c>
      <c r="J61" s="1">
        <f t="shared" si="15"/>
        <v>0.1395535571</v>
      </c>
      <c r="K61" s="1">
        <f t="shared" si="16"/>
        <v>0.1322274118</v>
      </c>
      <c r="L61" s="1">
        <f t="shared" si="17"/>
        <v>0.1065972805</v>
      </c>
      <c r="M61" s="1">
        <f t="shared" si="18"/>
        <v>0.1164552792</v>
      </c>
      <c r="N61" s="1">
        <f t="shared" si="19"/>
        <v>0.122853809</v>
      </c>
      <c r="P61" s="1" t="s">
        <v>145</v>
      </c>
      <c r="Q61" s="1">
        <f t="shared" ref="Q61:AB61" si="24">AVERAGE(C60,C69,C78)</f>
        <v>0.9255571092</v>
      </c>
      <c r="R61" s="1">
        <f t="shared" si="24"/>
        <v>0.9539891715</v>
      </c>
      <c r="S61" s="1">
        <f t="shared" si="24"/>
        <v>0.9531010339</v>
      </c>
      <c r="T61" s="1">
        <f t="shared" si="24"/>
        <v>0.1506973447</v>
      </c>
      <c r="U61" s="1">
        <f t="shared" si="24"/>
        <v>0.2190132433</v>
      </c>
      <c r="V61" s="1">
        <f t="shared" si="24"/>
        <v>0.2469139912</v>
      </c>
      <c r="W61" s="1">
        <f t="shared" si="24"/>
        <v>0.1379505111</v>
      </c>
      <c r="X61" s="1">
        <f t="shared" si="24"/>
        <v>0.2630704059</v>
      </c>
      <c r="Y61" s="1">
        <f t="shared" si="24"/>
        <v>0.2676683469</v>
      </c>
      <c r="Z61" s="1">
        <f t="shared" si="24"/>
        <v>0.1347835883</v>
      </c>
      <c r="AA61" s="1">
        <f t="shared" si="24"/>
        <v>0.1997399476</v>
      </c>
      <c r="AB61" s="1">
        <f t="shared" si="24"/>
        <v>0.2288045214</v>
      </c>
    </row>
    <row r="62" ht="12.75" customHeight="1">
      <c r="C62" s="1">
        <f t="shared" si="8"/>
        <v>0.1271430996</v>
      </c>
      <c r="D62" s="1">
        <f t="shared" si="9"/>
        <v>0.1712653061</v>
      </c>
      <c r="E62" s="1">
        <f t="shared" si="10"/>
        <v>0.1731108615</v>
      </c>
      <c r="F62" s="1">
        <f t="shared" si="11"/>
        <v>0.06343343504</v>
      </c>
      <c r="G62" s="1">
        <f t="shared" si="12"/>
        <v>0.1151256364</v>
      </c>
      <c r="H62" s="1">
        <f t="shared" si="13"/>
        <v>0.107102593</v>
      </c>
      <c r="I62" s="1">
        <f t="shared" si="14"/>
        <v>0.1233180307</v>
      </c>
      <c r="J62" s="1">
        <f t="shared" si="15"/>
        <v>0.1289545528</v>
      </c>
      <c r="K62" s="1">
        <f t="shared" si="16"/>
        <v>0.1254630375</v>
      </c>
      <c r="L62" s="1">
        <f t="shared" si="17"/>
        <v>0.08846734934</v>
      </c>
      <c r="M62" s="1">
        <f t="shared" si="18"/>
        <v>0.09471256795</v>
      </c>
      <c r="N62" s="1">
        <f t="shared" si="19"/>
        <v>0.1078513086</v>
      </c>
      <c r="P62" s="1" t="s">
        <v>146</v>
      </c>
      <c r="Q62" s="1">
        <f t="shared" ref="Q62:AB62" si="25">AVERAGE(C61,C70,C79)</f>
        <v>0.8724249971</v>
      </c>
      <c r="R62" s="1">
        <f t="shared" si="25"/>
        <v>0.86984729</v>
      </c>
      <c r="S62" s="1">
        <f t="shared" si="25"/>
        <v>0.9023453228</v>
      </c>
      <c r="T62" s="1">
        <f t="shared" si="25"/>
        <v>0.1014879185</v>
      </c>
      <c r="U62" s="1">
        <f t="shared" si="25"/>
        <v>0.1552807602</v>
      </c>
      <c r="V62" s="1">
        <f t="shared" si="25"/>
        <v>0.1493577808</v>
      </c>
      <c r="W62" s="1">
        <f t="shared" si="25"/>
        <v>0.113273948</v>
      </c>
      <c r="X62" s="1">
        <f t="shared" si="25"/>
        <v>0.1275443721</v>
      </c>
      <c r="Y62" s="1">
        <f t="shared" si="25"/>
        <v>0.1296976018</v>
      </c>
      <c r="Z62" s="1">
        <f t="shared" si="25"/>
        <v>0.1085205428</v>
      </c>
      <c r="AA62" s="1">
        <f t="shared" si="25"/>
        <v>0.1132556853</v>
      </c>
      <c r="AB62" s="1">
        <f t="shared" si="25"/>
        <v>0.1327701524</v>
      </c>
    </row>
    <row r="63" ht="12.75" customHeight="1">
      <c r="P63" s="1" t="s">
        <v>147</v>
      </c>
      <c r="Q63" s="1">
        <f t="shared" ref="Q63:AB63" si="26">AVERAGE(C62,C71,C80)</f>
        <v>0.1297613519</v>
      </c>
      <c r="R63" s="1">
        <f t="shared" si="26"/>
        <v>0.1833569049</v>
      </c>
      <c r="S63" s="1">
        <f t="shared" si="26"/>
        <v>0.1785390769</v>
      </c>
      <c r="T63" s="1">
        <f t="shared" si="26"/>
        <v>0.05477424728</v>
      </c>
      <c r="U63" s="1">
        <f t="shared" si="26"/>
        <v>0.1058426841</v>
      </c>
      <c r="V63" s="1">
        <f t="shared" si="26"/>
        <v>0.1043100898</v>
      </c>
      <c r="W63" s="1">
        <f t="shared" si="26"/>
        <v>0.1236469821</v>
      </c>
      <c r="X63" s="1">
        <f t="shared" si="26"/>
        <v>0.1304848965</v>
      </c>
      <c r="Y63" s="1">
        <f t="shared" si="26"/>
        <v>0.1231151302</v>
      </c>
      <c r="Z63" s="1">
        <f t="shared" si="26"/>
        <v>0.08653444573</v>
      </c>
      <c r="AA63" s="1">
        <f t="shared" si="26"/>
        <v>0.09863963746</v>
      </c>
      <c r="AB63" s="1">
        <f t="shared" si="26"/>
        <v>0.1124932523</v>
      </c>
    </row>
    <row r="64" ht="12.75" customHeight="1"/>
    <row r="65" ht="12.75" customHeight="1">
      <c r="C65" s="1">
        <v>1.0</v>
      </c>
      <c r="D65" s="1">
        <v>1.0</v>
      </c>
      <c r="E65" s="1">
        <v>1.0</v>
      </c>
      <c r="F65" s="1">
        <v>1.0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  <c r="N65" s="1">
        <v>1.0</v>
      </c>
    </row>
    <row r="66" ht="12.75" customHeight="1">
      <c r="C66" s="1">
        <v>0.9312847810307284</v>
      </c>
      <c r="D66" s="1">
        <v>0.9257652446372622</v>
      </c>
      <c r="E66" s="1">
        <v>0.9595198870322428</v>
      </c>
      <c r="F66" s="1">
        <v>0.9327810650887576</v>
      </c>
      <c r="G66" s="1">
        <v>0.9300461501093031</v>
      </c>
      <c r="H66" s="1">
        <v>0.9487301210538811</v>
      </c>
      <c r="I66" s="1">
        <v>0.8492117888965044</v>
      </c>
      <c r="J66" s="1">
        <v>0.9366536607757632</v>
      </c>
      <c r="K66" s="1">
        <v>0.9114012590347401</v>
      </c>
      <c r="L66" s="1">
        <v>0.8919426826403571</v>
      </c>
      <c r="M66" s="1">
        <v>0.9453830131913912</v>
      </c>
      <c r="N66" s="1">
        <v>0.9372132335184737</v>
      </c>
    </row>
    <row r="67" ht="12.75" customHeight="1">
      <c r="C67" s="1">
        <v>1.000967819985483</v>
      </c>
      <c r="D67" s="1">
        <v>1.029886719691492</v>
      </c>
      <c r="E67" s="1">
        <v>1.0056483878559659</v>
      </c>
      <c r="F67" s="1">
        <v>0.9914792899408285</v>
      </c>
      <c r="G67" s="1">
        <v>1.0340053436968668</v>
      </c>
      <c r="H67" s="1">
        <v>1.013292190837883</v>
      </c>
      <c r="I67" s="1">
        <v>0.9707562257253827</v>
      </c>
      <c r="J67" s="1">
        <v>0.9990819371126923</v>
      </c>
      <c r="K67" s="1">
        <v>0.9944042900442995</v>
      </c>
      <c r="L67" s="1">
        <v>0.9389241249706367</v>
      </c>
      <c r="M67" s="1">
        <v>0.9833371904651703</v>
      </c>
      <c r="N67" s="1">
        <v>0.9971021492393141</v>
      </c>
    </row>
    <row r="68" ht="12.75" customHeight="1">
      <c r="C68" s="1">
        <v>0.968061940479071</v>
      </c>
      <c r="D68" s="1">
        <v>0.9990359122680165</v>
      </c>
      <c r="E68" s="1">
        <v>0.9849376323840904</v>
      </c>
      <c r="F68" s="1">
        <v>0.2766863905325444</v>
      </c>
      <c r="G68" s="1">
        <v>0.9825115375273259</v>
      </c>
      <c r="H68" s="1">
        <v>0.9696178495134112</v>
      </c>
      <c r="I68" s="1">
        <v>0.2095042266392506</v>
      </c>
      <c r="J68" s="1">
        <v>1.0578379619003904</v>
      </c>
      <c r="K68" s="1">
        <v>0.9682909769176966</v>
      </c>
      <c r="L68" s="1">
        <v>0.2539346957951609</v>
      </c>
      <c r="M68" s="1">
        <v>0.9028002777134924</v>
      </c>
      <c r="N68" s="1">
        <v>0.9169282781936731</v>
      </c>
    </row>
    <row r="69" ht="12.75" customHeight="1">
      <c r="C69" s="1">
        <v>0.936123880958142</v>
      </c>
      <c r="D69" s="1">
        <v>0.9932513858761151</v>
      </c>
      <c r="E69" s="1">
        <v>0.9651682748882087</v>
      </c>
      <c r="F69" s="1">
        <v>0.15266272189349114</v>
      </c>
      <c r="G69" s="1">
        <v>0.21107602623269375</v>
      </c>
      <c r="H69" s="1">
        <v>0.24804177545691908</v>
      </c>
      <c r="I69" s="1">
        <v>0.1373086588987891</v>
      </c>
      <c r="J69" s="1">
        <v>0.2664677530410834</v>
      </c>
      <c r="K69" s="1">
        <v>0.24737701095826534</v>
      </c>
      <c r="L69" s="1">
        <v>0.12802443035001174</v>
      </c>
      <c r="M69" s="1">
        <v>0.1937051608423976</v>
      </c>
      <c r="N69" s="1">
        <v>0.21371649360057957</v>
      </c>
    </row>
    <row r="70" ht="12.75" customHeight="1">
      <c r="C70" s="1">
        <v>0.8054681829179775</v>
      </c>
      <c r="D70" s="1">
        <v>0.8659918052542783</v>
      </c>
      <c r="E70" s="1">
        <v>0.8879736408566721</v>
      </c>
      <c r="F70" s="1">
        <v>0.1204733727810651</v>
      </c>
      <c r="G70" s="1">
        <v>0.15278115132377948</v>
      </c>
      <c r="H70" s="1">
        <v>0.14360313315926895</v>
      </c>
      <c r="I70" s="1">
        <v>0.11903129997715328</v>
      </c>
      <c r="J70" s="1">
        <v>0.1260041312829929</v>
      </c>
      <c r="K70" s="1">
        <v>0.12800186523665188</v>
      </c>
      <c r="L70" s="1">
        <v>0.11486962649753348</v>
      </c>
      <c r="M70" s="1">
        <v>0.11594538301319139</v>
      </c>
      <c r="N70" s="1">
        <v>0.12774692103356677</v>
      </c>
    </row>
    <row r="71" ht="12.75" customHeight="1">
      <c r="C71" s="1">
        <v>0.11928381321074283</v>
      </c>
      <c r="D71" s="1">
        <v>0.18052542781393108</v>
      </c>
      <c r="E71" s="1">
        <v>0.1725111791009649</v>
      </c>
      <c r="F71" s="1">
        <v>0.045680473372781055</v>
      </c>
      <c r="G71" s="1">
        <v>0.10517367014816614</v>
      </c>
      <c r="H71" s="1">
        <v>0.10182767624020889</v>
      </c>
      <c r="I71" s="1">
        <v>0.11903129997715328</v>
      </c>
      <c r="J71" s="1">
        <v>0.12784025705760846</v>
      </c>
      <c r="K71" s="1">
        <v>0.11121473536955001</v>
      </c>
      <c r="L71" s="1">
        <v>0.08480150340615457</v>
      </c>
      <c r="M71" s="1">
        <v>0.09095116871094655</v>
      </c>
      <c r="N71" s="1">
        <v>0.10456411494808016</v>
      </c>
    </row>
    <row r="72" ht="12.75" customHeight="1"/>
    <row r="73" ht="12.75" customHeight="1"/>
    <row r="74" ht="12.75" customHeight="1">
      <c r="C74" s="1">
        <v>1.0</v>
      </c>
      <c r="D74" s="1">
        <v>1.0</v>
      </c>
      <c r="E74" s="1">
        <v>1.0</v>
      </c>
      <c r="F74" s="1">
        <v>1.0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>
        <v>1.0</v>
      </c>
      <c r="N74" s="1">
        <v>1.0</v>
      </c>
    </row>
    <row r="75" ht="12.75" customHeight="1">
      <c r="C75" s="1">
        <v>0.9880537580886013</v>
      </c>
      <c r="D75" s="1">
        <v>0.9923554706163402</v>
      </c>
      <c r="E75" s="1">
        <v>1.006734006734007</v>
      </c>
      <c r="F75" s="1">
        <v>0.9990398463754202</v>
      </c>
      <c r="G75" s="1">
        <v>0.9652418976045091</v>
      </c>
      <c r="H75" s="1">
        <v>0.9962352941176471</v>
      </c>
      <c r="I75" s="1">
        <v>0.9896373056994819</v>
      </c>
      <c r="J75" s="1">
        <v>0.968533086534012</v>
      </c>
      <c r="K75" s="1">
        <v>0.97622444127437</v>
      </c>
      <c r="L75" s="1">
        <v>0.9516526887025158</v>
      </c>
      <c r="M75" s="1">
        <v>0.9932595089070774</v>
      </c>
      <c r="N75" s="1">
        <v>1.0267627380339681</v>
      </c>
    </row>
    <row r="76" ht="12.75" customHeight="1">
      <c r="C76" s="1">
        <v>0.978098556495769</v>
      </c>
      <c r="D76" s="1">
        <v>0.9541328236980411</v>
      </c>
      <c r="E76" s="1">
        <v>0.9990379990379992</v>
      </c>
      <c r="F76" s="1">
        <v>0.9702352376380221</v>
      </c>
      <c r="G76" s="1">
        <v>0.9455143259746359</v>
      </c>
      <c r="H76" s="1">
        <v>0.9774117647058823</v>
      </c>
      <c r="I76" s="1">
        <v>0.9717381064531323</v>
      </c>
      <c r="J76" s="1">
        <v>0.977788061082832</v>
      </c>
      <c r="K76" s="1">
        <v>0.97622444127437</v>
      </c>
      <c r="L76" s="1">
        <v>0.9743463246176616</v>
      </c>
      <c r="M76" s="1">
        <v>0.9788155994222436</v>
      </c>
      <c r="N76" s="1">
        <v>1.0483787956767885</v>
      </c>
    </row>
    <row r="77" ht="12.75" customHeight="1">
      <c r="C77" s="1">
        <v>1.0228969636635141</v>
      </c>
      <c r="D77" s="1">
        <v>1.0105112279025321</v>
      </c>
      <c r="E77" s="1">
        <v>1.023088023088023</v>
      </c>
      <c r="F77" s="1">
        <v>0.2846855496879501</v>
      </c>
      <c r="G77" s="1">
        <v>0.964302489431658</v>
      </c>
      <c r="H77" s="1">
        <v>0.9642352941176471</v>
      </c>
      <c r="I77" s="1">
        <v>0.2435233160621762</v>
      </c>
      <c r="J77" s="1">
        <v>0.97223507635354</v>
      </c>
      <c r="K77" s="1">
        <v>0.9876367094626725</v>
      </c>
      <c r="L77" s="1">
        <v>0.3211642821904292</v>
      </c>
      <c r="M77" s="1">
        <v>0.9335580163697641</v>
      </c>
      <c r="N77" s="1">
        <v>0.9629439011837364</v>
      </c>
    </row>
    <row r="78" ht="12.75" customHeight="1">
      <c r="C78" s="1">
        <v>0.9362867098058735</v>
      </c>
      <c r="D78" s="1">
        <v>0.9617773530817009</v>
      </c>
      <c r="E78" s="1">
        <v>0.9644059644059645</v>
      </c>
      <c r="F78" s="1">
        <v>0.15698511761881906</v>
      </c>
      <c r="G78" s="1">
        <v>0.21653358384217947</v>
      </c>
      <c r="H78" s="1">
        <v>0.23388235294117646</v>
      </c>
      <c r="I78" s="1">
        <v>0.13612812058407917</v>
      </c>
      <c r="J78" s="1">
        <v>0.22998611753817677</v>
      </c>
      <c r="K78" s="1">
        <v>0.261055634807418</v>
      </c>
      <c r="L78" s="1">
        <v>0.14454859398125308</v>
      </c>
      <c r="M78" s="1">
        <v>0.18825228695233512</v>
      </c>
      <c r="N78" s="1">
        <v>0.2218219248584663</v>
      </c>
    </row>
    <row r="79" ht="12.75" customHeight="1">
      <c r="C79" s="1">
        <v>0.9900447984071677</v>
      </c>
      <c r="D79" s="1">
        <v>0.913999044433827</v>
      </c>
      <c r="E79" s="1">
        <v>0.9461279461279463</v>
      </c>
      <c r="F79" s="1">
        <v>0.10417666826692272</v>
      </c>
      <c r="G79" s="1">
        <v>0.1535932362611555</v>
      </c>
      <c r="H79" s="1">
        <v>0.1538823529411765</v>
      </c>
      <c r="I79" s="1">
        <v>0.10127178520960906</v>
      </c>
      <c r="J79" s="1">
        <v>0.11707542804257288</v>
      </c>
      <c r="K79" s="1">
        <v>0.12886352829291492</v>
      </c>
      <c r="L79" s="1">
        <v>0.10409472126295016</v>
      </c>
      <c r="M79" s="1">
        <v>0.10736639383726529</v>
      </c>
      <c r="N79" s="1">
        <v>0.14770972722593928</v>
      </c>
    </row>
    <row r="80" ht="12.75" customHeight="1">
      <c r="C80" s="1">
        <v>0.14285714285714288</v>
      </c>
      <c r="D80" s="1">
        <v>0.19827998088867657</v>
      </c>
      <c r="E80" s="1">
        <v>0.18999518999519002</v>
      </c>
      <c r="F80" s="1">
        <v>0.055208833413346155</v>
      </c>
      <c r="G80" s="1">
        <v>0.09722874589008924</v>
      </c>
      <c r="H80" s="1">
        <v>0.104</v>
      </c>
      <c r="I80" s="1">
        <v>0.12859161563824778</v>
      </c>
      <c r="J80" s="1">
        <v>0.13465987968533089</v>
      </c>
      <c r="K80" s="1">
        <v>0.13266761768901572</v>
      </c>
      <c r="L80" s="1">
        <v>0.0863344844597928</v>
      </c>
      <c r="M80" s="1">
        <v>0.11025517573423207</v>
      </c>
      <c r="N80" s="1">
        <v>0.12506433350488935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Q57:AB63">
    <cfRule type="colorScale" priority="1">
      <colorScale>
        <cfvo type="formula" val="0"/>
        <cfvo type="formula" val="1"/>
        <color theme="1"/>
        <color theme="4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0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2</v>
      </c>
      <c r="B4" s="20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4</v>
      </c>
      <c r="B5" s="20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6</v>
      </c>
      <c r="B6" s="20" t="s">
        <v>148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8</v>
      </c>
      <c r="B7" s="2">
        <v>45967.0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</v>
      </c>
      <c r="B8" s="3">
        <v>0.6688425925925926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10</v>
      </c>
      <c r="B9" s="20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12</v>
      </c>
      <c r="B10" s="20">
        <v>1803065.0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13</v>
      </c>
      <c r="B11" s="20" t="s">
        <v>14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4" t="s">
        <v>15</v>
      </c>
      <c r="B13" s="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 t="s">
        <v>16</v>
      </c>
      <c r="B14" s="20" t="s">
        <v>17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 t="s">
        <v>18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 t="s">
        <v>19</v>
      </c>
      <c r="B16" s="20" t="s">
        <v>20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 t="s">
        <v>21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 t="s">
        <v>22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4" t="s">
        <v>24</v>
      </c>
      <c r="B21" s="5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4" t="s">
        <v>130</v>
      </c>
      <c r="B33" s="5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 t="s">
        <v>131</v>
      </c>
      <c r="B34" s="20">
        <v>29.5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7" t="s">
        <v>25</v>
      </c>
      <c r="C37" s="10">
        <v>0.101</v>
      </c>
      <c r="D37" s="10">
        <v>0.1</v>
      </c>
      <c r="E37" s="10">
        <v>0.101</v>
      </c>
      <c r="F37" s="10">
        <v>0.099</v>
      </c>
      <c r="G37" s="10">
        <v>0.101</v>
      </c>
      <c r="H37" s="10">
        <v>0.1</v>
      </c>
      <c r="I37" s="10">
        <v>0.1</v>
      </c>
      <c r="J37" s="10">
        <v>0.101</v>
      </c>
      <c r="K37" s="10">
        <v>0.099</v>
      </c>
      <c r="L37" s="10">
        <v>0.104</v>
      </c>
      <c r="M37" s="10">
        <v>0.104</v>
      </c>
      <c r="N37" s="10">
        <v>0.099</v>
      </c>
      <c r="O37" s="9">
        <v>600.0</v>
      </c>
      <c r="P37" s="1">
        <f>AVERAGE(C37:N37)</f>
        <v>0.10075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7" t="s">
        <v>39</v>
      </c>
      <c r="C38" s="12">
        <v>1.134</v>
      </c>
      <c r="D38" s="12">
        <v>1.138</v>
      </c>
      <c r="E38" s="12">
        <v>1.163</v>
      </c>
      <c r="F38" s="12">
        <v>1.157</v>
      </c>
      <c r="G38" s="12">
        <v>1.13</v>
      </c>
      <c r="H38" s="12">
        <v>1.154</v>
      </c>
      <c r="I38" s="11">
        <v>1.195</v>
      </c>
      <c r="J38" s="11">
        <v>1.19</v>
      </c>
      <c r="K38" s="11">
        <v>1.173</v>
      </c>
      <c r="L38" s="12">
        <v>1.165</v>
      </c>
      <c r="M38" s="11">
        <v>1.181</v>
      </c>
      <c r="N38" s="12">
        <v>1.136</v>
      </c>
      <c r="O38" s="9">
        <v>600.0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7" t="s">
        <v>52</v>
      </c>
      <c r="C39" s="13">
        <v>1.063</v>
      </c>
      <c r="D39" s="13">
        <v>1.061</v>
      </c>
      <c r="E39" s="12">
        <v>1.12</v>
      </c>
      <c r="F39" s="13">
        <v>1.086</v>
      </c>
      <c r="G39" s="13">
        <v>1.058</v>
      </c>
      <c r="H39" s="12">
        <v>1.1</v>
      </c>
      <c r="I39" s="13">
        <v>1.03</v>
      </c>
      <c r="J39" s="12">
        <v>1.121</v>
      </c>
      <c r="K39" s="13">
        <v>1.078</v>
      </c>
      <c r="L39" s="13">
        <v>1.05</v>
      </c>
      <c r="M39" s="12">
        <v>1.122</v>
      </c>
      <c r="N39" s="13">
        <v>1.071</v>
      </c>
      <c r="O39" s="9">
        <v>600.0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7" t="s">
        <v>65</v>
      </c>
      <c r="C40" s="12">
        <v>1.135</v>
      </c>
      <c r="D40" s="12">
        <v>1.169</v>
      </c>
      <c r="E40" s="12">
        <v>1.169</v>
      </c>
      <c r="F40" s="12">
        <v>1.148</v>
      </c>
      <c r="G40" s="12">
        <v>1.165</v>
      </c>
      <c r="H40" s="12">
        <v>1.168</v>
      </c>
      <c r="I40" s="12">
        <v>1.163</v>
      </c>
      <c r="J40" s="11">
        <v>1.189</v>
      </c>
      <c r="K40" s="12">
        <v>1.167</v>
      </c>
      <c r="L40" s="12">
        <v>1.1</v>
      </c>
      <c r="M40" s="12">
        <v>1.163</v>
      </c>
      <c r="N40" s="12">
        <v>1.133</v>
      </c>
      <c r="O40" s="9">
        <v>600.0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7" t="s">
        <v>78</v>
      </c>
      <c r="C41" s="12">
        <v>1.101</v>
      </c>
      <c r="D41" s="12">
        <v>1.137</v>
      </c>
      <c r="E41" s="12">
        <v>1.147</v>
      </c>
      <c r="F41" s="14">
        <v>0.393</v>
      </c>
      <c r="G41" s="12">
        <v>1.112</v>
      </c>
      <c r="H41" s="12">
        <v>1.122</v>
      </c>
      <c r="I41" s="15">
        <v>0.33</v>
      </c>
      <c r="J41" s="11">
        <v>1.253</v>
      </c>
      <c r="K41" s="12">
        <v>1.139</v>
      </c>
      <c r="L41" s="14">
        <v>0.371</v>
      </c>
      <c r="M41" s="13">
        <v>1.076</v>
      </c>
      <c r="N41" s="13">
        <v>1.05</v>
      </c>
      <c r="O41" s="9">
        <v>600.0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7" t="s">
        <v>91</v>
      </c>
      <c r="C42" s="13">
        <v>1.068</v>
      </c>
      <c r="D42" s="12">
        <v>1.131</v>
      </c>
      <c r="E42" s="12">
        <v>1.126</v>
      </c>
      <c r="F42" s="16">
        <v>0.262</v>
      </c>
      <c r="G42" s="15">
        <v>0.318</v>
      </c>
      <c r="H42" s="14">
        <v>0.362</v>
      </c>
      <c r="I42" s="16">
        <v>0.251</v>
      </c>
      <c r="J42" s="14">
        <v>0.391</v>
      </c>
      <c r="K42" s="14">
        <v>0.366</v>
      </c>
      <c r="L42" s="16">
        <v>0.237</v>
      </c>
      <c r="M42" s="15">
        <v>0.31</v>
      </c>
      <c r="N42" s="15">
        <v>0.322</v>
      </c>
      <c r="O42" s="9">
        <v>600.0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7" t="s">
        <v>104</v>
      </c>
      <c r="C43" s="18">
        <v>0.933</v>
      </c>
      <c r="D43" s="18">
        <v>0.999</v>
      </c>
      <c r="E43" s="13">
        <v>1.044</v>
      </c>
      <c r="F43" s="16">
        <v>0.228</v>
      </c>
      <c r="G43" s="16">
        <v>0.258</v>
      </c>
      <c r="H43" s="16">
        <v>0.252</v>
      </c>
      <c r="I43" s="16">
        <v>0.231</v>
      </c>
      <c r="J43" s="16">
        <v>0.238</v>
      </c>
      <c r="K43" s="16">
        <v>0.238</v>
      </c>
      <c r="L43" s="16">
        <v>0.223</v>
      </c>
      <c r="M43" s="16">
        <v>0.226</v>
      </c>
      <c r="N43" s="16">
        <v>0.233</v>
      </c>
      <c r="O43" s="9">
        <v>600.0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7" t="s">
        <v>117</v>
      </c>
      <c r="C44" s="16">
        <v>0.224</v>
      </c>
      <c r="D44" s="15">
        <v>0.288</v>
      </c>
      <c r="E44" s="15">
        <v>0.284</v>
      </c>
      <c r="F44" s="10">
        <v>0.149</v>
      </c>
      <c r="G44" s="16">
        <v>0.209</v>
      </c>
      <c r="H44" s="16">
        <v>0.208</v>
      </c>
      <c r="I44" s="16">
        <v>0.231</v>
      </c>
      <c r="J44" s="16">
        <v>0.24</v>
      </c>
      <c r="K44" s="16">
        <v>0.22</v>
      </c>
      <c r="L44" s="16">
        <v>0.191</v>
      </c>
      <c r="M44" s="16">
        <v>0.199</v>
      </c>
      <c r="N44" s="16">
        <v>0.209</v>
      </c>
      <c r="O44" s="9">
        <v>600.0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1">
        <f t="shared" ref="C47:N47" si="1">C38-$P$37</f>
        <v>1.03325</v>
      </c>
      <c r="D47" s="1">
        <f t="shared" si="1"/>
        <v>1.03725</v>
      </c>
      <c r="E47" s="1">
        <f t="shared" si="1"/>
        <v>1.06225</v>
      </c>
      <c r="F47" s="1">
        <f t="shared" si="1"/>
        <v>1.05625</v>
      </c>
      <c r="G47" s="1">
        <f t="shared" si="1"/>
        <v>1.02925</v>
      </c>
      <c r="H47" s="1">
        <f t="shared" si="1"/>
        <v>1.05325</v>
      </c>
      <c r="I47" s="1">
        <f t="shared" si="1"/>
        <v>1.09425</v>
      </c>
      <c r="J47" s="1">
        <f t="shared" si="1"/>
        <v>1.08925</v>
      </c>
      <c r="K47" s="1">
        <f t="shared" si="1"/>
        <v>1.07225</v>
      </c>
      <c r="L47" s="1">
        <f t="shared" si="1"/>
        <v>1.06425</v>
      </c>
      <c r="M47" s="1">
        <f t="shared" si="1"/>
        <v>1.08025</v>
      </c>
      <c r="N47" s="1">
        <f t="shared" si="1"/>
        <v>1.03525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1">
        <f t="shared" ref="C48:N48" si="2">C39-$P$37</f>
        <v>0.96225</v>
      </c>
      <c r="D48" s="1">
        <f t="shared" si="2"/>
        <v>0.96025</v>
      </c>
      <c r="E48" s="1">
        <f t="shared" si="2"/>
        <v>1.01925</v>
      </c>
      <c r="F48" s="1">
        <f t="shared" si="2"/>
        <v>0.98525</v>
      </c>
      <c r="G48" s="1">
        <f t="shared" si="2"/>
        <v>0.95725</v>
      </c>
      <c r="H48" s="1">
        <f t="shared" si="2"/>
        <v>0.99925</v>
      </c>
      <c r="I48" s="1">
        <f t="shared" si="2"/>
        <v>0.92925</v>
      </c>
      <c r="J48" s="1">
        <f t="shared" si="2"/>
        <v>1.02025</v>
      </c>
      <c r="K48" s="1">
        <f t="shared" si="2"/>
        <v>0.97725</v>
      </c>
      <c r="L48" s="1">
        <f t="shared" si="2"/>
        <v>0.94925</v>
      </c>
      <c r="M48" s="1">
        <f t="shared" si="2"/>
        <v>1.02125</v>
      </c>
      <c r="N48" s="1">
        <f t="shared" si="2"/>
        <v>0.97025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1">
        <f t="shared" ref="C49:N49" si="3">C40-$P$37</f>
        <v>1.03425</v>
      </c>
      <c r="D49" s="1">
        <f t="shared" si="3"/>
        <v>1.06825</v>
      </c>
      <c r="E49" s="1">
        <f t="shared" si="3"/>
        <v>1.06825</v>
      </c>
      <c r="F49" s="1">
        <f t="shared" si="3"/>
        <v>1.04725</v>
      </c>
      <c r="G49" s="1">
        <f t="shared" si="3"/>
        <v>1.06425</v>
      </c>
      <c r="H49" s="1">
        <f t="shared" si="3"/>
        <v>1.06725</v>
      </c>
      <c r="I49" s="1">
        <f t="shared" si="3"/>
        <v>1.06225</v>
      </c>
      <c r="J49" s="1">
        <f t="shared" si="3"/>
        <v>1.08825</v>
      </c>
      <c r="K49" s="1">
        <f t="shared" si="3"/>
        <v>1.06625</v>
      </c>
      <c r="L49" s="1">
        <f t="shared" si="3"/>
        <v>0.99925</v>
      </c>
      <c r="M49" s="1">
        <f t="shared" si="3"/>
        <v>1.06225</v>
      </c>
      <c r="N49" s="1">
        <f t="shared" si="3"/>
        <v>1.03225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1">
        <f t="shared" ref="C50:N50" si="4">C41-$P$37</f>
        <v>1.00025</v>
      </c>
      <c r="D50" s="1">
        <f t="shared" si="4"/>
        <v>1.03625</v>
      </c>
      <c r="E50" s="1">
        <f t="shared" si="4"/>
        <v>1.04625</v>
      </c>
      <c r="F50" s="1">
        <f t="shared" si="4"/>
        <v>0.29225</v>
      </c>
      <c r="G50" s="1">
        <f t="shared" si="4"/>
        <v>1.01125</v>
      </c>
      <c r="H50" s="1">
        <f t="shared" si="4"/>
        <v>1.02125</v>
      </c>
      <c r="I50" s="1">
        <f t="shared" si="4"/>
        <v>0.22925</v>
      </c>
      <c r="J50" s="1">
        <f t="shared" si="4"/>
        <v>1.15225</v>
      </c>
      <c r="K50" s="1">
        <f t="shared" si="4"/>
        <v>1.03825</v>
      </c>
      <c r="L50" s="1">
        <f t="shared" si="4"/>
        <v>0.27025</v>
      </c>
      <c r="M50" s="1">
        <f t="shared" si="4"/>
        <v>0.97525</v>
      </c>
      <c r="N50" s="1">
        <f t="shared" si="4"/>
        <v>0.94925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1">
        <f t="shared" ref="C51:N51" si="5">C42-$P$37</f>
        <v>0.96725</v>
      </c>
      <c r="D51" s="1">
        <f t="shared" si="5"/>
        <v>1.03025</v>
      </c>
      <c r="E51" s="1">
        <f t="shared" si="5"/>
        <v>1.02525</v>
      </c>
      <c r="F51" s="1">
        <f t="shared" si="5"/>
        <v>0.16125</v>
      </c>
      <c r="G51" s="1">
        <f t="shared" si="5"/>
        <v>0.21725</v>
      </c>
      <c r="H51" s="1">
        <f t="shared" si="5"/>
        <v>0.26125</v>
      </c>
      <c r="I51" s="1">
        <f t="shared" si="5"/>
        <v>0.15025</v>
      </c>
      <c r="J51" s="1">
        <f t="shared" si="5"/>
        <v>0.29025</v>
      </c>
      <c r="K51" s="1">
        <f t="shared" si="5"/>
        <v>0.26525</v>
      </c>
      <c r="L51" s="1">
        <f t="shared" si="5"/>
        <v>0.13625</v>
      </c>
      <c r="M51" s="1">
        <f t="shared" si="5"/>
        <v>0.20925</v>
      </c>
      <c r="N51" s="1">
        <f t="shared" si="5"/>
        <v>0.22125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1">
        <f t="shared" ref="C52:N52" si="6">C43-$P$37</f>
        <v>0.83225</v>
      </c>
      <c r="D52" s="1">
        <f t="shared" si="6"/>
        <v>0.89825</v>
      </c>
      <c r="E52" s="1">
        <f t="shared" si="6"/>
        <v>0.94325</v>
      </c>
      <c r="F52" s="1">
        <f t="shared" si="6"/>
        <v>0.12725</v>
      </c>
      <c r="G52" s="1">
        <f t="shared" si="6"/>
        <v>0.15725</v>
      </c>
      <c r="H52" s="1">
        <f t="shared" si="6"/>
        <v>0.15125</v>
      </c>
      <c r="I52" s="1">
        <f t="shared" si="6"/>
        <v>0.13025</v>
      </c>
      <c r="J52" s="1">
        <f t="shared" si="6"/>
        <v>0.13725</v>
      </c>
      <c r="K52" s="1">
        <f t="shared" si="6"/>
        <v>0.13725</v>
      </c>
      <c r="L52" s="1">
        <f t="shared" si="6"/>
        <v>0.12225</v>
      </c>
      <c r="M52" s="1">
        <f t="shared" si="6"/>
        <v>0.12525</v>
      </c>
      <c r="N52" s="1">
        <f t="shared" si="6"/>
        <v>0.13225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1">
        <f t="shared" ref="C53:N53" si="7">C44-$P$37</f>
        <v>0.12325</v>
      </c>
      <c r="D53" s="1">
        <f t="shared" si="7"/>
        <v>0.18725</v>
      </c>
      <c r="E53" s="1">
        <f t="shared" si="7"/>
        <v>0.18325</v>
      </c>
      <c r="F53" s="1">
        <f t="shared" si="7"/>
        <v>0.04825</v>
      </c>
      <c r="G53" s="1">
        <f t="shared" si="7"/>
        <v>0.10825</v>
      </c>
      <c r="H53" s="1">
        <f t="shared" si="7"/>
        <v>0.10725</v>
      </c>
      <c r="I53" s="1">
        <f t="shared" si="7"/>
        <v>0.13025</v>
      </c>
      <c r="J53" s="1">
        <f t="shared" si="7"/>
        <v>0.13925</v>
      </c>
      <c r="K53" s="1">
        <f t="shared" si="7"/>
        <v>0.11925</v>
      </c>
      <c r="L53" s="1">
        <f t="shared" si="7"/>
        <v>0.09025</v>
      </c>
      <c r="M53" s="1">
        <f t="shared" si="7"/>
        <v>0.09825</v>
      </c>
      <c r="N53" s="1">
        <f t="shared" si="7"/>
        <v>0.10825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1">
        <f t="shared" ref="C56:C62" si="8">C47/$C$47</f>
        <v>1</v>
      </c>
      <c r="D56" s="1">
        <f t="shared" ref="D56:D62" si="9">D47/$D$47</f>
        <v>1</v>
      </c>
      <c r="E56" s="1">
        <f t="shared" ref="E56:E62" si="10">E47/$E$47</f>
        <v>1</v>
      </c>
      <c r="F56" s="1">
        <f t="shared" ref="F56:F62" si="11">F47/$F$47</f>
        <v>1</v>
      </c>
      <c r="G56" s="1">
        <f t="shared" ref="G56:G62" si="12">G47/$G$47</f>
        <v>1</v>
      </c>
      <c r="H56" s="1">
        <f t="shared" ref="H56:H62" si="13">H47/$H$47</f>
        <v>1</v>
      </c>
      <c r="I56" s="1">
        <f t="shared" ref="I56:I62" si="14">I47/$I$47</f>
        <v>1</v>
      </c>
      <c r="J56" s="1">
        <f t="shared" ref="J56:J62" si="15">J47/$J$47</f>
        <v>1</v>
      </c>
      <c r="K56" s="1">
        <f t="shared" ref="K56:K62" si="16">K47/$K$47</f>
        <v>1</v>
      </c>
      <c r="L56" s="1">
        <f t="shared" ref="L56:L62" si="17">L47/$L$47</f>
        <v>1</v>
      </c>
      <c r="M56" s="1">
        <f t="shared" ref="M56:M62" si="18">M47/$M$47</f>
        <v>1</v>
      </c>
      <c r="N56" s="1">
        <f t="shared" ref="N56:N62" si="19">N47/$N$47</f>
        <v>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1">
        <f t="shared" si="8"/>
        <v>0.931284781</v>
      </c>
      <c r="D57" s="1">
        <f t="shared" si="9"/>
        <v>0.9257652446</v>
      </c>
      <c r="E57" s="1">
        <f t="shared" si="10"/>
        <v>0.959519887</v>
      </c>
      <c r="F57" s="1">
        <f t="shared" si="11"/>
        <v>0.9327810651</v>
      </c>
      <c r="G57" s="1">
        <f t="shared" si="12"/>
        <v>0.9300461501</v>
      </c>
      <c r="H57" s="1">
        <f t="shared" si="13"/>
        <v>0.9487301211</v>
      </c>
      <c r="I57" s="1">
        <f t="shared" si="14"/>
        <v>0.8492117889</v>
      </c>
      <c r="J57" s="1">
        <f t="shared" si="15"/>
        <v>0.9366536608</v>
      </c>
      <c r="K57" s="1">
        <f t="shared" si="16"/>
        <v>0.911401259</v>
      </c>
      <c r="L57" s="1">
        <f t="shared" si="17"/>
        <v>0.8919426826</v>
      </c>
      <c r="M57" s="1">
        <f t="shared" si="18"/>
        <v>0.9453830132</v>
      </c>
      <c r="N57" s="1">
        <f t="shared" si="19"/>
        <v>0.9372132335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1">
        <f t="shared" si="8"/>
        <v>1.00096782</v>
      </c>
      <c r="D58" s="1">
        <f t="shared" si="9"/>
        <v>1.02988672</v>
      </c>
      <c r="E58" s="1">
        <f t="shared" si="10"/>
        <v>1.005648388</v>
      </c>
      <c r="F58" s="1">
        <f t="shared" si="11"/>
        <v>0.9914792899</v>
      </c>
      <c r="G58" s="1">
        <f t="shared" si="12"/>
        <v>1.034005344</v>
      </c>
      <c r="H58" s="1">
        <f t="shared" si="13"/>
        <v>1.013292191</v>
      </c>
      <c r="I58" s="1">
        <f t="shared" si="14"/>
        <v>0.9707562257</v>
      </c>
      <c r="J58" s="1">
        <f t="shared" si="15"/>
        <v>0.9990819371</v>
      </c>
      <c r="K58" s="1">
        <f t="shared" si="16"/>
        <v>0.99440429</v>
      </c>
      <c r="L58" s="1">
        <f t="shared" si="17"/>
        <v>0.938924125</v>
      </c>
      <c r="M58" s="1">
        <f t="shared" si="18"/>
        <v>0.9833371905</v>
      </c>
      <c r="N58" s="1">
        <f t="shared" si="19"/>
        <v>0.9971021492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1">
        <f t="shared" si="8"/>
        <v>0.9680619405</v>
      </c>
      <c r="D59" s="1">
        <f t="shared" si="9"/>
        <v>0.9990359123</v>
      </c>
      <c r="E59" s="1">
        <f t="shared" si="10"/>
        <v>0.9849376324</v>
      </c>
      <c r="F59" s="1">
        <f t="shared" si="11"/>
        <v>0.2766863905</v>
      </c>
      <c r="G59" s="1">
        <f t="shared" si="12"/>
        <v>0.9825115375</v>
      </c>
      <c r="H59" s="1">
        <f t="shared" si="13"/>
        <v>0.9696178495</v>
      </c>
      <c r="I59" s="1">
        <f t="shared" si="14"/>
        <v>0.2095042266</v>
      </c>
      <c r="J59" s="1">
        <f t="shared" si="15"/>
        <v>1.057837962</v>
      </c>
      <c r="K59" s="1">
        <f t="shared" si="16"/>
        <v>0.9682909769</v>
      </c>
      <c r="L59" s="1">
        <f t="shared" si="17"/>
        <v>0.2539346958</v>
      </c>
      <c r="M59" s="1">
        <f t="shared" si="18"/>
        <v>0.9028002777</v>
      </c>
      <c r="N59" s="1">
        <f t="shared" si="19"/>
        <v>0.9169282782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1">
        <f t="shared" si="8"/>
        <v>0.936123881</v>
      </c>
      <c r="D60" s="1">
        <f t="shared" si="9"/>
        <v>0.9932513859</v>
      </c>
      <c r="E60" s="1">
        <f t="shared" si="10"/>
        <v>0.9651682749</v>
      </c>
      <c r="F60" s="1">
        <f t="shared" si="11"/>
        <v>0.1526627219</v>
      </c>
      <c r="G60" s="1">
        <f t="shared" si="12"/>
        <v>0.2110760262</v>
      </c>
      <c r="H60" s="1">
        <f t="shared" si="13"/>
        <v>0.2480417755</v>
      </c>
      <c r="I60" s="1">
        <f t="shared" si="14"/>
        <v>0.1373086589</v>
      </c>
      <c r="J60" s="1">
        <f t="shared" si="15"/>
        <v>0.266467753</v>
      </c>
      <c r="K60" s="1">
        <f t="shared" si="16"/>
        <v>0.247377011</v>
      </c>
      <c r="L60" s="1">
        <f t="shared" si="17"/>
        <v>0.1280244304</v>
      </c>
      <c r="M60" s="1">
        <f t="shared" si="18"/>
        <v>0.1937051608</v>
      </c>
      <c r="N60" s="1">
        <f t="shared" si="19"/>
        <v>0.2137164936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1">
        <f t="shared" si="8"/>
        <v>0.8054681829</v>
      </c>
      <c r="D61" s="1">
        <f t="shared" si="9"/>
        <v>0.8659918053</v>
      </c>
      <c r="E61" s="1">
        <f t="shared" si="10"/>
        <v>0.8879736409</v>
      </c>
      <c r="F61" s="1">
        <f t="shared" si="11"/>
        <v>0.1204733728</v>
      </c>
      <c r="G61" s="1">
        <f t="shared" si="12"/>
        <v>0.1527811513</v>
      </c>
      <c r="H61" s="1">
        <f t="shared" si="13"/>
        <v>0.1436031332</v>
      </c>
      <c r="I61" s="1">
        <f t="shared" si="14"/>
        <v>0.1190313</v>
      </c>
      <c r="J61" s="1">
        <f t="shared" si="15"/>
        <v>0.1260041313</v>
      </c>
      <c r="K61" s="1">
        <f t="shared" si="16"/>
        <v>0.1280018652</v>
      </c>
      <c r="L61" s="1">
        <f t="shared" si="17"/>
        <v>0.1148696265</v>
      </c>
      <c r="M61" s="1">
        <f t="shared" si="18"/>
        <v>0.115945383</v>
      </c>
      <c r="N61" s="1">
        <f t="shared" si="19"/>
        <v>0.127746921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1">
        <f t="shared" si="8"/>
        <v>0.1192838132</v>
      </c>
      <c r="D62" s="1">
        <f t="shared" si="9"/>
        <v>0.1805254278</v>
      </c>
      <c r="E62" s="1">
        <f t="shared" si="10"/>
        <v>0.1725111791</v>
      </c>
      <c r="F62" s="1">
        <f t="shared" si="11"/>
        <v>0.04568047337</v>
      </c>
      <c r="G62" s="1">
        <f t="shared" si="12"/>
        <v>0.1051736701</v>
      </c>
      <c r="H62" s="1">
        <f t="shared" si="13"/>
        <v>0.1018276762</v>
      </c>
      <c r="I62" s="1">
        <f t="shared" si="14"/>
        <v>0.1190313</v>
      </c>
      <c r="J62" s="1">
        <f t="shared" si="15"/>
        <v>0.1278402571</v>
      </c>
      <c r="K62" s="1">
        <f t="shared" si="16"/>
        <v>0.1112147354</v>
      </c>
      <c r="L62" s="1">
        <f t="shared" si="17"/>
        <v>0.08480150341</v>
      </c>
      <c r="M62" s="1">
        <f t="shared" si="18"/>
        <v>0.09095116871</v>
      </c>
      <c r="N62" s="1">
        <f t="shared" si="19"/>
        <v>0.1045641149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0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2</v>
      </c>
      <c r="B4" s="20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4</v>
      </c>
      <c r="B5" s="20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6</v>
      </c>
      <c r="B6" s="20" t="s">
        <v>149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8</v>
      </c>
      <c r="B7" s="2">
        <v>45967.0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</v>
      </c>
      <c r="B8" s="3">
        <v>0.6698032407407407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10</v>
      </c>
      <c r="B9" s="20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12</v>
      </c>
      <c r="B10" s="20">
        <v>1803065.0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13</v>
      </c>
      <c r="B11" s="20" t="s">
        <v>14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4" t="s">
        <v>15</v>
      </c>
      <c r="B13" s="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 t="s">
        <v>16</v>
      </c>
      <c r="B14" s="20" t="s">
        <v>17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 t="s">
        <v>18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 t="s">
        <v>19</v>
      </c>
      <c r="B16" s="20" t="s">
        <v>20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 t="s">
        <v>21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 t="s">
        <v>22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4" t="s">
        <v>24</v>
      </c>
      <c r="B21" s="5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4" t="s">
        <v>130</v>
      </c>
      <c r="B33" s="5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 t="s">
        <v>131</v>
      </c>
      <c r="B34" s="20">
        <v>29.3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7" t="s">
        <v>25</v>
      </c>
      <c r="C37" s="10">
        <v>0.101</v>
      </c>
      <c r="D37" s="10">
        <v>0.1</v>
      </c>
      <c r="E37" s="10">
        <v>0.101</v>
      </c>
      <c r="F37" s="10">
        <v>0.099</v>
      </c>
      <c r="G37" s="10">
        <v>0.101</v>
      </c>
      <c r="H37" s="10">
        <v>0.101</v>
      </c>
      <c r="I37" s="10">
        <v>0.1</v>
      </c>
      <c r="J37" s="10">
        <v>0.101</v>
      </c>
      <c r="K37" s="10">
        <v>0.101</v>
      </c>
      <c r="L37" s="10">
        <v>0.101</v>
      </c>
      <c r="M37" s="10">
        <v>0.101</v>
      </c>
      <c r="N37" s="10">
        <v>0.099</v>
      </c>
      <c r="O37" s="9">
        <v>600.0</v>
      </c>
      <c r="P37" s="1">
        <f>AVERAGE(C37:N37)</f>
        <v>0.1005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7" t="s">
        <v>39</v>
      </c>
      <c r="C38" s="11">
        <v>1.105</v>
      </c>
      <c r="D38" s="11">
        <v>1.147</v>
      </c>
      <c r="E38" s="11">
        <v>1.14</v>
      </c>
      <c r="F38" s="11">
        <v>1.142</v>
      </c>
      <c r="G38" s="11">
        <v>1.165</v>
      </c>
      <c r="H38" s="11">
        <v>1.163</v>
      </c>
      <c r="I38" s="11">
        <v>1.162</v>
      </c>
      <c r="J38" s="11">
        <v>1.181</v>
      </c>
      <c r="K38" s="11">
        <v>1.152</v>
      </c>
      <c r="L38" s="11">
        <v>1.114</v>
      </c>
      <c r="M38" s="11">
        <v>1.139</v>
      </c>
      <c r="N38" s="12">
        <v>1.072</v>
      </c>
      <c r="O38" s="9">
        <v>600.0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7" t="s">
        <v>52</v>
      </c>
      <c r="C39" s="12">
        <v>1.093</v>
      </c>
      <c r="D39" s="11">
        <v>1.139</v>
      </c>
      <c r="E39" s="11">
        <v>1.147</v>
      </c>
      <c r="F39" s="11">
        <v>1.141</v>
      </c>
      <c r="G39" s="11">
        <v>1.128</v>
      </c>
      <c r="H39" s="11">
        <v>1.159</v>
      </c>
      <c r="I39" s="11">
        <v>1.151</v>
      </c>
      <c r="J39" s="11">
        <v>1.147</v>
      </c>
      <c r="K39" s="11">
        <v>1.127</v>
      </c>
      <c r="L39" s="12">
        <v>1.065</v>
      </c>
      <c r="M39" s="11">
        <v>1.132</v>
      </c>
      <c r="N39" s="12">
        <v>1.098</v>
      </c>
      <c r="O39" s="9">
        <v>600.0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7" t="s">
        <v>65</v>
      </c>
      <c r="C40" s="12">
        <v>1.083</v>
      </c>
      <c r="D40" s="12">
        <v>1.099</v>
      </c>
      <c r="E40" s="11">
        <v>1.139</v>
      </c>
      <c r="F40" s="11">
        <v>1.111</v>
      </c>
      <c r="G40" s="11">
        <v>1.107</v>
      </c>
      <c r="H40" s="11">
        <v>1.139</v>
      </c>
      <c r="I40" s="11">
        <v>1.132</v>
      </c>
      <c r="J40" s="11">
        <v>1.157</v>
      </c>
      <c r="K40" s="11">
        <v>1.127</v>
      </c>
      <c r="L40" s="12">
        <v>1.088</v>
      </c>
      <c r="M40" s="11">
        <v>1.117</v>
      </c>
      <c r="N40" s="11">
        <v>1.119</v>
      </c>
      <c r="O40" s="9">
        <v>600.0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7" t="s">
        <v>78</v>
      </c>
      <c r="C41" s="11">
        <v>1.128</v>
      </c>
      <c r="D41" s="11">
        <v>1.158</v>
      </c>
      <c r="E41" s="11">
        <v>1.164</v>
      </c>
      <c r="F41" s="14">
        <v>0.397</v>
      </c>
      <c r="G41" s="11">
        <v>1.127</v>
      </c>
      <c r="H41" s="11">
        <v>1.125</v>
      </c>
      <c r="I41" s="14">
        <v>0.359</v>
      </c>
      <c r="J41" s="11">
        <v>1.151</v>
      </c>
      <c r="K41" s="11">
        <v>1.139</v>
      </c>
      <c r="L41" s="17">
        <v>0.426</v>
      </c>
      <c r="M41" s="12">
        <v>1.07</v>
      </c>
      <c r="N41" s="12">
        <v>1.036</v>
      </c>
      <c r="O41" s="9">
        <v>600.0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7" t="s">
        <v>91</v>
      </c>
      <c r="C42" s="12">
        <v>1.041</v>
      </c>
      <c r="D42" s="11">
        <v>1.107</v>
      </c>
      <c r="E42" s="12">
        <v>1.103</v>
      </c>
      <c r="F42" s="15">
        <v>0.264</v>
      </c>
      <c r="G42" s="15">
        <v>0.331</v>
      </c>
      <c r="H42" s="14">
        <v>0.349</v>
      </c>
      <c r="I42" s="16">
        <v>0.245</v>
      </c>
      <c r="J42" s="14">
        <v>0.349</v>
      </c>
      <c r="K42" s="14">
        <v>0.375</v>
      </c>
      <c r="L42" s="16">
        <v>0.247</v>
      </c>
      <c r="M42" s="15">
        <v>0.296</v>
      </c>
      <c r="N42" s="15">
        <v>0.316</v>
      </c>
      <c r="O42" s="9">
        <v>600.0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7" t="s">
        <v>104</v>
      </c>
      <c r="C43" s="12">
        <v>1.095</v>
      </c>
      <c r="D43" s="12">
        <v>1.057</v>
      </c>
      <c r="E43" s="12">
        <v>1.084</v>
      </c>
      <c r="F43" s="16">
        <v>0.209</v>
      </c>
      <c r="G43" s="15">
        <v>0.264</v>
      </c>
      <c r="H43" s="15">
        <v>0.264</v>
      </c>
      <c r="I43" s="16">
        <v>0.208</v>
      </c>
      <c r="J43" s="16">
        <v>0.227</v>
      </c>
      <c r="K43" s="16">
        <v>0.236</v>
      </c>
      <c r="L43" s="16">
        <v>0.206</v>
      </c>
      <c r="M43" s="16">
        <v>0.212</v>
      </c>
      <c r="N43" s="16">
        <v>0.244</v>
      </c>
      <c r="O43" s="9">
        <v>600.0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7" t="s">
        <v>117</v>
      </c>
      <c r="C44" s="16">
        <v>0.244</v>
      </c>
      <c r="D44" s="15">
        <v>0.308</v>
      </c>
      <c r="E44" s="15">
        <v>0.298</v>
      </c>
      <c r="F44" s="10">
        <v>0.158</v>
      </c>
      <c r="G44" s="16">
        <v>0.204</v>
      </c>
      <c r="H44" s="16">
        <v>0.211</v>
      </c>
      <c r="I44" s="16">
        <v>0.237</v>
      </c>
      <c r="J44" s="16">
        <v>0.246</v>
      </c>
      <c r="K44" s="16">
        <v>0.24</v>
      </c>
      <c r="L44" s="16">
        <v>0.188</v>
      </c>
      <c r="M44" s="16">
        <v>0.215</v>
      </c>
      <c r="N44" s="16">
        <v>0.222</v>
      </c>
      <c r="O44" s="9">
        <v>600.0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1">
        <f t="shared" ref="C47:N47" si="1">C38-$P$37</f>
        <v>1.0045</v>
      </c>
      <c r="D47" s="1">
        <f t="shared" si="1"/>
        <v>1.0465</v>
      </c>
      <c r="E47" s="1">
        <f t="shared" si="1"/>
        <v>1.0395</v>
      </c>
      <c r="F47" s="1">
        <f t="shared" si="1"/>
        <v>1.0415</v>
      </c>
      <c r="G47" s="1">
        <f t="shared" si="1"/>
        <v>1.0645</v>
      </c>
      <c r="H47" s="1">
        <f t="shared" si="1"/>
        <v>1.0625</v>
      </c>
      <c r="I47" s="1">
        <f t="shared" si="1"/>
        <v>1.0615</v>
      </c>
      <c r="J47" s="1">
        <f t="shared" si="1"/>
        <v>1.0805</v>
      </c>
      <c r="K47" s="1">
        <f t="shared" si="1"/>
        <v>1.0515</v>
      </c>
      <c r="L47" s="1">
        <f t="shared" si="1"/>
        <v>1.0135</v>
      </c>
      <c r="M47" s="1">
        <f t="shared" si="1"/>
        <v>1.0385</v>
      </c>
      <c r="N47" s="1">
        <f t="shared" si="1"/>
        <v>0.9715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1">
        <f t="shared" ref="C48:N48" si="2">C39-$P$37</f>
        <v>0.9925</v>
      </c>
      <c r="D48" s="1">
        <f t="shared" si="2"/>
        <v>1.0385</v>
      </c>
      <c r="E48" s="1">
        <f t="shared" si="2"/>
        <v>1.0465</v>
      </c>
      <c r="F48" s="1">
        <f t="shared" si="2"/>
        <v>1.0405</v>
      </c>
      <c r="G48" s="1">
        <f t="shared" si="2"/>
        <v>1.0275</v>
      </c>
      <c r="H48" s="1">
        <f t="shared" si="2"/>
        <v>1.0585</v>
      </c>
      <c r="I48" s="1">
        <f t="shared" si="2"/>
        <v>1.0505</v>
      </c>
      <c r="J48" s="1">
        <f t="shared" si="2"/>
        <v>1.0465</v>
      </c>
      <c r="K48" s="1">
        <f t="shared" si="2"/>
        <v>1.0265</v>
      </c>
      <c r="L48" s="1">
        <f t="shared" si="2"/>
        <v>0.9645</v>
      </c>
      <c r="M48" s="1">
        <f t="shared" si="2"/>
        <v>1.0315</v>
      </c>
      <c r="N48" s="1">
        <f t="shared" si="2"/>
        <v>0.9975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1">
        <f t="shared" ref="C49:N49" si="3">C40-$P$37</f>
        <v>0.9825</v>
      </c>
      <c r="D49" s="1">
        <f t="shared" si="3"/>
        <v>0.9985</v>
      </c>
      <c r="E49" s="1">
        <f t="shared" si="3"/>
        <v>1.0385</v>
      </c>
      <c r="F49" s="1">
        <f t="shared" si="3"/>
        <v>1.0105</v>
      </c>
      <c r="G49" s="1">
        <f t="shared" si="3"/>
        <v>1.0065</v>
      </c>
      <c r="H49" s="1">
        <f t="shared" si="3"/>
        <v>1.0385</v>
      </c>
      <c r="I49" s="1">
        <f t="shared" si="3"/>
        <v>1.0315</v>
      </c>
      <c r="J49" s="1">
        <f t="shared" si="3"/>
        <v>1.0565</v>
      </c>
      <c r="K49" s="1">
        <f t="shared" si="3"/>
        <v>1.0265</v>
      </c>
      <c r="L49" s="1">
        <f t="shared" si="3"/>
        <v>0.9875</v>
      </c>
      <c r="M49" s="1">
        <f t="shared" si="3"/>
        <v>1.0165</v>
      </c>
      <c r="N49" s="1">
        <f t="shared" si="3"/>
        <v>1.0185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1">
        <f t="shared" ref="C50:N50" si="4">C41-$P$37</f>
        <v>1.0275</v>
      </c>
      <c r="D50" s="1">
        <f t="shared" si="4"/>
        <v>1.0575</v>
      </c>
      <c r="E50" s="1">
        <f t="shared" si="4"/>
        <v>1.0635</v>
      </c>
      <c r="F50" s="1">
        <f t="shared" si="4"/>
        <v>0.2965</v>
      </c>
      <c r="G50" s="1">
        <f t="shared" si="4"/>
        <v>1.0265</v>
      </c>
      <c r="H50" s="1">
        <f t="shared" si="4"/>
        <v>1.0245</v>
      </c>
      <c r="I50" s="1">
        <f t="shared" si="4"/>
        <v>0.2585</v>
      </c>
      <c r="J50" s="1">
        <f t="shared" si="4"/>
        <v>1.0505</v>
      </c>
      <c r="K50" s="1">
        <f t="shared" si="4"/>
        <v>1.0385</v>
      </c>
      <c r="L50" s="1">
        <f t="shared" si="4"/>
        <v>0.3255</v>
      </c>
      <c r="M50" s="1">
        <f t="shared" si="4"/>
        <v>0.9695</v>
      </c>
      <c r="N50" s="1">
        <f t="shared" si="4"/>
        <v>0.9355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1">
        <f t="shared" ref="C51:N51" si="5">C42-$P$37</f>
        <v>0.9405</v>
      </c>
      <c r="D51" s="1">
        <f t="shared" si="5"/>
        <v>1.0065</v>
      </c>
      <c r="E51" s="1">
        <f t="shared" si="5"/>
        <v>1.0025</v>
      </c>
      <c r="F51" s="1">
        <f t="shared" si="5"/>
        <v>0.1635</v>
      </c>
      <c r="G51" s="1">
        <f t="shared" si="5"/>
        <v>0.2305</v>
      </c>
      <c r="H51" s="1">
        <f t="shared" si="5"/>
        <v>0.2485</v>
      </c>
      <c r="I51" s="1">
        <f t="shared" si="5"/>
        <v>0.1445</v>
      </c>
      <c r="J51" s="1">
        <f t="shared" si="5"/>
        <v>0.2485</v>
      </c>
      <c r="K51" s="1">
        <f t="shared" si="5"/>
        <v>0.2745</v>
      </c>
      <c r="L51" s="1">
        <f t="shared" si="5"/>
        <v>0.1465</v>
      </c>
      <c r="M51" s="1">
        <f t="shared" si="5"/>
        <v>0.1955</v>
      </c>
      <c r="N51" s="1">
        <f t="shared" si="5"/>
        <v>0.2155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1">
        <f t="shared" ref="C52:N52" si="6">C43-$P$37</f>
        <v>0.9945</v>
      </c>
      <c r="D52" s="1">
        <f t="shared" si="6"/>
        <v>0.9565</v>
      </c>
      <c r="E52" s="1">
        <f t="shared" si="6"/>
        <v>0.9835</v>
      </c>
      <c r="F52" s="1">
        <f t="shared" si="6"/>
        <v>0.1085</v>
      </c>
      <c r="G52" s="1">
        <f t="shared" si="6"/>
        <v>0.1635</v>
      </c>
      <c r="H52" s="1">
        <f t="shared" si="6"/>
        <v>0.1635</v>
      </c>
      <c r="I52" s="1">
        <f t="shared" si="6"/>
        <v>0.1075</v>
      </c>
      <c r="J52" s="1">
        <f t="shared" si="6"/>
        <v>0.1265</v>
      </c>
      <c r="K52" s="1">
        <f t="shared" si="6"/>
        <v>0.1355</v>
      </c>
      <c r="L52" s="1">
        <f t="shared" si="6"/>
        <v>0.1055</v>
      </c>
      <c r="M52" s="1">
        <f t="shared" si="6"/>
        <v>0.1115</v>
      </c>
      <c r="N52" s="1">
        <f t="shared" si="6"/>
        <v>0.1435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1">
        <f t="shared" ref="C53:N53" si="7">C44-$P$37</f>
        <v>0.1435</v>
      </c>
      <c r="D53" s="1">
        <f t="shared" si="7"/>
        <v>0.2075</v>
      </c>
      <c r="E53" s="1">
        <f t="shared" si="7"/>
        <v>0.1975</v>
      </c>
      <c r="F53" s="1">
        <f t="shared" si="7"/>
        <v>0.0575</v>
      </c>
      <c r="G53" s="1">
        <f t="shared" si="7"/>
        <v>0.1035</v>
      </c>
      <c r="H53" s="1">
        <f t="shared" si="7"/>
        <v>0.1105</v>
      </c>
      <c r="I53" s="1">
        <f t="shared" si="7"/>
        <v>0.1365</v>
      </c>
      <c r="J53" s="1">
        <f t="shared" si="7"/>
        <v>0.1455</v>
      </c>
      <c r="K53" s="1">
        <f t="shared" si="7"/>
        <v>0.1395</v>
      </c>
      <c r="L53" s="1">
        <f t="shared" si="7"/>
        <v>0.0875</v>
      </c>
      <c r="M53" s="1">
        <f t="shared" si="7"/>
        <v>0.1145</v>
      </c>
      <c r="N53" s="1">
        <f t="shared" si="7"/>
        <v>0.1215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1">
        <f t="shared" ref="C56:C62" si="8">C47/$C$47</f>
        <v>1</v>
      </c>
      <c r="D56" s="1">
        <f t="shared" ref="D56:D62" si="9">D47/$D$47</f>
        <v>1</v>
      </c>
      <c r="E56" s="1">
        <f t="shared" ref="E56:E62" si="10">E47/$E$47</f>
        <v>1</v>
      </c>
      <c r="F56" s="1">
        <f t="shared" ref="F56:F62" si="11">F47/$F$47</f>
        <v>1</v>
      </c>
      <c r="G56" s="1">
        <f t="shared" ref="G56:G62" si="12">G47/$G$47</f>
        <v>1</v>
      </c>
      <c r="H56" s="1">
        <f t="shared" ref="H56:H62" si="13">H47/$H$47</f>
        <v>1</v>
      </c>
      <c r="I56" s="1">
        <f t="shared" ref="I56:I62" si="14">I47/$I$47</f>
        <v>1</v>
      </c>
      <c r="J56" s="1">
        <f t="shared" ref="J56:J62" si="15">J47/$J$47</f>
        <v>1</v>
      </c>
      <c r="K56" s="1">
        <f t="shared" ref="K56:K62" si="16">K47/$K$47</f>
        <v>1</v>
      </c>
      <c r="L56" s="1">
        <f t="shared" ref="L56:L62" si="17">L47/$L$47</f>
        <v>1</v>
      </c>
      <c r="M56" s="1">
        <f t="shared" ref="M56:M62" si="18">M47/$M$47</f>
        <v>1</v>
      </c>
      <c r="N56" s="1">
        <f t="shared" ref="N56:N62" si="19">N47/$N$47</f>
        <v>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1">
        <f t="shared" si="8"/>
        <v>0.9880537581</v>
      </c>
      <c r="D57" s="1">
        <f t="shared" si="9"/>
        <v>0.9923554706</v>
      </c>
      <c r="E57" s="1">
        <f t="shared" si="10"/>
        <v>1.006734007</v>
      </c>
      <c r="F57" s="1">
        <f t="shared" si="11"/>
        <v>0.9990398464</v>
      </c>
      <c r="G57" s="1">
        <f t="shared" si="12"/>
        <v>0.9652418976</v>
      </c>
      <c r="H57" s="1">
        <f t="shared" si="13"/>
        <v>0.9962352941</v>
      </c>
      <c r="I57" s="1">
        <f t="shared" si="14"/>
        <v>0.9896373057</v>
      </c>
      <c r="J57" s="1">
        <f t="shared" si="15"/>
        <v>0.9685330865</v>
      </c>
      <c r="K57" s="1">
        <f t="shared" si="16"/>
        <v>0.9762244413</v>
      </c>
      <c r="L57" s="1">
        <f t="shared" si="17"/>
        <v>0.9516526887</v>
      </c>
      <c r="M57" s="1">
        <f t="shared" si="18"/>
        <v>0.9932595089</v>
      </c>
      <c r="N57" s="1">
        <f t="shared" si="19"/>
        <v>1.026762738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1">
        <f t="shared" si="8"/>
        <v>0.9780985565</v>
      </c>
      <c r="D58" s="1">
        <f t="shared" si="9"/>
        <v>0.9541328237</v>
      </c>
      <c r="E58" s="1">
        <f t="shared" si="10"/>
        <v>0.999037999</v>
      </c>
      <c r="F58" s="1">
        <f t="shared" si="11"/>
        <v>0.9702352376</v>
      </c>
      <c r="G58" s="1">
        <f t="shared" si="12"/>
        <v>0.945514326</v>
      </c>
      <c r="H58" s="1">
        <f t="shared" si="13"/>
        <v>0.9774117647</v>
      </c>
      <c r="I58" s="1">
        <f t="shared" si="14"/>
        <v>0.9717381065</v>
      </c>
      <c r="J58" s="1">
        <f t="shared" si="15"/>
        <v>0.9777880611</v>
      </c>
      <c r="K58" s="1">
        <f t="shared" si="16"/>
        <v>0.9762244413</v>
      </c>
      <c r="L58" s="1">
        <f t="shared" si="17"/>
        <v>0.9743463246</v>
      </c>
      <c r="M58" s="1">
        <f t="shared" si="18"/>
        <v>0.9788155994</v>
      </c>
      <c r="N58" s="1">
        <f t="shared" si="19"/>
        <v>1.048378796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1">
        <f t="shared" si="8"/>
        <v>1.022896964</v>
      </c>
      <c r="D59" s="1">
        <f t="shared" si="9"/>
        <v>1.010511228</v>
      </c>
      <c r="E59" s="1">
        <f t="shared" si="10"/>
        <v>1.023088023</v>
      </c>
      <c r="F59" s="1">
        <f t="shared" si="11"/>
        <v>0.2846855497</v>
      </c>
      <c r="G59" s="1">
        <f t="shared" si="12"/>
        <v>0.9643024894</v>
      </c>
      <c r="H59" s="1">
        <f t="shared" si="13"/>
        <v>0.9642352941</v>
      </c>
      <c r="I59" s="1">
        <f t="shared" si="14"/>
        <v>0.2435233161</v>
      </c>
      <c r="J59" s="1">
        <f t="shared" si="15"/>
        <v>0.9722350764</v>
      </c>
      <c r="K59" s="1">
        <f t="shared" si="16"/>
        <v>0.9876367095</v>
      </c>
      <c r="L59" s="1">
        <f t="shared" si="17"/>
        <v>0.3211642822</v>
      </c>
      <c r="M59" s="1">
        <f t="shared" si="18"/>
        <v>0.9335580164</v>
      </c>
      <c r="N59" s="1">
        <f t="shared" si="19"/>
        <v>0.9629439012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1">
        <f t="shared" si="8"/>
        <v>0.9362867098</v>
      </c>
      <c r="D60" s="1">
        <f t="shared" si="9"/>
        <v>0.9617773531</v>
      </c>
      <c r="E60" s="1">
        <f t="shared" si="10"/>
        <v>0.9644059644</v>
      </c>
      <c r="F60" s="1">
        <f t="shared" si="11"/>
        <v>0.1569851176</v>
      </c>
      <c r="G60" s="1">
        <f t="shared" si="12"/>
        <v>0.2165335838</v>
      </c>
      <c r="H60" s="1">
        <f t="shared" si="13"/>
        <v>0.2338823529</v>
      </c>
      <c r="I60" s="1">
        <f t="shared" si="14"/>
        <v>0.1361281206</v>
      </c>
      <c r="J60" s="1">
        <f t="shared" si="15"/>
        <v>0.2299861175</v>
      </c>
      <c r="K60" s="1">
        <f t="shared" si="16"/>
        <v>0.2610556348</v>
      </c>
      <c r="L60" s="1">
        <f t="shared" si="17"/>
        <v>0.144548594</v>
      </c>
      <c r="M60" s="1">
        <f t="shared" si="18"/>
        <v>0.188252287</v>
      </c>
      <c r="N60" s="1">
        <f t="shared" si="19"/>
        <v>0.2218219249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1">
        <f t="shared" si="8"/>
        <v>0.9900447984</v>
      </c>
      <c r="D61" s="1">
        <f t="shared" si="9"/>
        <v>0.9139990444</v>
      </c>
      <c r="E61" s="1">
        <f t="shared" si="10"/>
        <v>0.9461279461</v>
      </c>
      <c r="F61" s="1">
        <f t="shared" si="11"/>
        <v>0.1041766683</v>
      </c>
      <c r="G61" s="1">
        <f t="shared" si="12"/>
        <v>0.1535932363</v>
      </c>
      <c r="H61" s="1">
        <f t="shared" si="13"/>
        <v>0.1538823529</v>
      </c>
      <c r="I61" s="1">
        <f t="shared" si="14"/>
        <v>0.1012717852</v>
      </c>
      <c r="J61" s="1">
        <f t="shared" si="15"/>
        <v>0.117075428</v>
      </c>
      <c r="K61" s="1">
        <f t="shared" si="16"/>
        <v>0.1288635283</v>
      </c>
      <c r="L61" s="1">
        <f t="shared" si="17"/>
        <v>0.1040947213</v>
      </c>
      <c r="M61" s="1">
        <f t="shared" si="18"/>
        <v>0.1073663938</v>
      </c>
      <c r="N61" s="1">
        <f t="shared" si="19"/>
        <v>0.1477097272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1">
        <f t="shared" si="8"/>
        <v>0.1428571429</v>
      </c>
      <c r="D62" s="1">
        <f t="shared" si="9"/>
        <v>0.1982799809</v>
      </c>
      <c r="E62" s="1">
        <f t="shared" si="10"/>
        <v>0.18999519</v>
      </c>
      <c r="F62" s="1">
        <f t="shared" si="11"/>
        <v>0.05520883341</v>
      </c>
      <c r="G62" s="1">
        <f t="shared" si="12"/>
        <v>0.09722874589</v>
      </c>
      <c r="H62" s="1">
        <f t="shared" si="13"/>
        <v>0.104</v>
      </c>
      <c r="I62" s="1">
        <f t="shared" si="14"/>
        <v>0.1285916156</v>
      </c>
      <c r="J62" s="1">
        <f t="shared" si="15"/>
        <v>0.1346598797</v>
      </c>
      <c r="K62" s="1">
        <f t="shared" si="16"/>
        <v>0.1326676177</v>
      </c>
      <c r="L62" s="1">
        <f t="shared" si="17"/>
        <v>0.08633448446</v>
      </c>
      <c r="M62" s="1">
        <f t="shared" si="18"/>
        <v>0.1102551757</v>
      </c>
      <c r="N62" s="1">
        <f t="shared" si="19"/>
        <v>0.1250643335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15" width="9.13"/>
    <col customWidth="1" min="16" max="16" width="16.13"/>
    <col customWidth="1" min="17" max="28" width="9.13"/>
  </cols>
  <sheetData>
    <row r="1" ht="12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2.75" customHeight="1">
      <c r="A2" s="20" t="s">
        <v>0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2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2.75" customHeight="1">
      <c r="A4" s="20" t="s">
        <v>2</v>
      </c>
      <c r="B4" s="20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2.75" customHeight="1">
      <c r="A5" s="20" t="s">
        <v>4</v>
      </c>
      <c r="B5" s="20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2.75" customHeight="1">
      <c r="A6" s="20" t="s">
        <v>6</v>
      </c>
      <c r="B6" s="20" t="s">
        <v>150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2.75" customHeight="1">
      <c r="A7" s="20" t="s">
        <v>8</v>
      </c>
      <c r="B7" s="2">
        <v>45967.0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2.75" customHeight="1">
      <c r="A8" s="20" t="s">
        <v>9</v>
      </c>
      <c r="B8" s="3">
        <v>0.6707407407407407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2.75" customHeight="1">
      <c r="A9" s="20" t="s">
        <v>10</v>
      </c>
      <c r="B9" s="20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2.75" customHeight="1">
      <c r="A10" s="20" t="s">
        <v>12</v>
      </c>
      <c r="B10" s="20">
        <v>1803065.0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2.75" customHeight="1">
      <c r="A11" s="20" t="s">
        <v>13</v>
      </c>
      <c r="B11" s="20" t="s">
        <v>14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2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2.75" customHeight="1">
      <c r="A13" s="4" t="s">
        <v>15</v>
      </c>
      <c r="B13" s="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2.75" customHeight="1">
      <c r="A14" s="20" t="s">
        <v>16</v>
      </c>
      <c r="B14" s="20" t="s">
        <v>17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2.75" customHeight="1">
      <c r="A15" s="20" t="s">
        <v>18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2.75" customHeight="1">
      <c r="A16" s="20" t="s">
        <v>19</v>
      </c>
      <c r="B16" s="20" t="s">
        <v>20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2.75" customHeight="1">
      <c r="A17" s="20"/>
      <c r="B17" s="20" t="s">
        <v>21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2.75" customHeight="1">
      <c r="A18" s="20"/>
      <c r="B18" s="20" t="s">
        <v>22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2.75" customHeight="1">
      <c r="A19" s="20"/>
      <c r="B19" s="20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2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2.75" customHeight="1">
      <c r="A21" s="4" t="s">
        <v>24</v>
      </c>
      <c r="B21" s="5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2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2.75" customHeight="1">
      <c r="A23" s="20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2.75" customHeight="1">
      <c r="A24" s="20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2.75" customHeight="1">
      <c r="A25" s="20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2.75" customHeight="1">
      <c r="A26" s="20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2.75" customHeight="1">
      <c r="A27" s="20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2.75" customHeight="1">
      <c r="A28" s="20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2.75" customHeight="1">
      <c r="A29" s="20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2.75" customHeight="1">
      <c r="A30" s="20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2.75" customHeight="1">
      <c r="A31" s="20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2.75" customHeight="1">
      <c r="A33" s="4" t="s">
        <v>130</v>
      </c>
      <c r="B33" s="5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2.75" customHeight="1">
      <c r="A34" s="20" t="s">
        <v>131</v>
      </c>
      <c r="B34" s="20">
        <v>29.1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2.75" customHeight="1">
      <c r="A36" s="20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2.75" customHeight="1">
      <c r="A37" s="20"/>
      <c r="B37" s="7" t="s">
        <v>25</v>
      </c>
      <c r="C37" s="10">
        <v>0.102</v>
      </c>
      <c r="D37" s="10">
        <v>0.101</v>
      </c>
      <c r="E37" s="10">
        <v>0.101</v>
      </c>
      <c r="F37" s="10">
        <v>0.1</v>
      </c>
      <c r="G37" s="10">
        <v>0.104</v>
      </c>
      <c r="H37" s="10">
        <v>0.107</v>
      </c>
      <c r="I37" s="10">
        <v>0.105</v>
      </c>
      <c r="J37" s="10">
        <v>0.104</v>
      </c>
      <c r="K37" s="10">
        <v>0.104</v>
      </c>
      <c r="L37" s="10">
        <v>0.107</v>
      </c>
      <c r="M37" s="10">
        <v>0.101</v>
      </c>
      <c r="N37" s="10">
        <v>0.1</v>
      </c>
      <c r="O37" s="9">
        <v>600.0</v>
      </c>
      <c r="P37" s="20">
        <f>average(C37:N37)</f>
        <v>0.103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2.75" customHeight="1">
      <c r="A38" s="20"/>
      <c r="B38" s="7" t="s">
        <v>39</v>
      </c>
      <c r="C38" s="10">
        <v>0.107</v>
      </c>
      <c r="D38" s="10">
        <v>0.153</v>
      </c>
      <c r="E38" s="10">
        <v>0.158</v>
      </c>
      <c r="F38" s="11">
        <v>1.204</v>
      </c>
      <c r="G38" s="11">
        <v>1.182</v>
      </c>
      <c r="H38" s="11">
        <v>1.188</v>
      </c>
      <c r="I38" s="11">
        <v>1.231</v>
      </c>
      <c r="J38" s="11">
        <v>1.222</v>
      </c>
      <c r="K38" s="11">
        <v>1.204</v>
      </c>
      <c r="L38" s="11">
        <v>1.187</v>
      </c>
      <c r="M38" s="11">
        <v>1.187</v>
      </c>
      <c r="N38" s="12">
        <v>1.146</v>
      </c>
      <c r="O38" s="9">
        <v>600.0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2.75" customHeight="1">
      <c r="A39" s="20"/>
      <c r="B39" s="7" t="s">
        <v>52</v>
      </c>
      <c r="C39" s="10">
        <v>0.112</v>
      </c>
      <c r="D39" s="10">
        <v>0.152</v>
      </c>
      <c r="E39" s="10">
        <v>0.158</v>
      </c>
      <c r="F39" s="11">
        <v>1.187</v>
      </c>
      <c r="G39" s="11">
        <v>1.171</v>
      </c>
      <c r="H39" s="11">
        <v>1.19</v>
      </c>
      <c r="I39" s="11">
        <v>1.176</v>
      </c>
      <c r="J39" s="11">
        <v>1.162</v>
      </c>
      <c r="K39" s="11">
        <v>1.152</v>
      </c>
      <c r="L39" s="11">
        <v>1.171</v>
      </c>
      <c r="M39" s="12">
        <v>1.145</v>
      </c>
      <c r="N39" s="12">
        <v>1.131</v>
      </c>
      <c r="O39" s="9">
        <v>600.0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2.75" customHeight="1">
      <c r="A40" s="20"/>
      <c r="B40" s="7" t="s">
        <v>65</v>
      </c>
      <c r="C40" s="10">
        <v>0.111</v>
      </c>
      <c r="D40" s="10">
        <v>0.148</v>
      </c>
      <c r="E40" s="10">
        <v>0.157</v>
      </c>
      <c r="F40" s="12">
        <v>1.097</v>
      </c>
      <c r="G40" s="12">
        <v>1.144</v>
      </c>
      <c r="H40" s="12">
        <v>1.137</v>
      </c>
      <c r="I40" s="12">
        <v>1.11</v>
      </c>
      <c r="J40" s="12">
        <v>1.094</v>
      </c>
      <c r="K40" s="12">
        <v>1.09</v>
      </c>
      <c r="L40" s="12">
        <v>1.135</v>
      </c>
      <c r="M40" s="12">
        <v>1.121</v>
      </c>
      <c r="N40" s="12">
        <v>1.085</v>
      </c>
      <c r="O40" s="9">
        <v>600.0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2.75" customHeight="1">
      <c r="A41" s="20"/>
      <c r="B41" s="7" t="s">
        <v>78</v>
      </c>
      <c r="C41" s="10">
        <v>0.104</v>
      </c>
      <c r="D41" s="10">
        <v>0.152</v>
      </c>
      <c r="E41" s="10">
        <v>0.155</v>
      </c>
      <c r="F41" s="16">
        <v>0.184</v>
      </c>
      <c r="G41" s="10">
        <v>0.18</v>
      </c>
      <c r="H41" s="16">
        <v>0.192</v>
      </c>
      <c r="I41" s="16">
        <v>0.189</v>
      </c>
      <c r="J41" s="16">
        <v>0.191</v>
      </c>
      <c r="K41" s="16">
        <v>0.2</v>
      </c>
      <c r="L41" s="16">
        <v>0.181</v>
      </c>
      <c r="M41" s="10">
        <v>0.164</v>
      </c>
      <c r="N41" s="10">
        <v>0.153</v>
      </c>
      <c r="O41" s="9">
        <v>600.0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2.75" customHeight="1">
      <c r="A42" s="20"/>
      <c r="B42" s="7" t="s">
        <v>91</v>
      </c>
      <c r="C42" s="10">
        <v>0.103</v>
      </c>
      <c r="D42" s="10">
        <v>0.15</v>
      </c>
      <c r="E42" s="10">
        <v>0.154</v>
      </c>
      <c r="F42" s="10">
        <v>0.155</v>
      </c>
      <c r="G42" s="10">
        <v>0.158</v>
      </c>
      <c r="H42" s="10">
        <v>0.163</v>
      </c>
      <c r="I42" s="10">
        <v>0.159</v>
      </c>
      <c r="J42" s="10">
        <v>0.161</v>
      </c>
      <c r="K42" s="10">
        <v>0.156</v>
      </c>
      <c r="L42" s="10">
        <v>0.16</v>
      </c>
      <c r="M42" s="10">
        <v>0.15</v>
      </c>
      <c r="N42" s="10">
        <v>0.129</v>
      </c>
      <c r="O42" s="9">
        <v>600.0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2.75" customHeight="1">
      <c r="A43" s="20"/>
      <c r="B43" s="7" t="s">
        <v>104</v>
      </c>
      <c r="C43" s="10">
        <v>0.101</v>
      </c>
      <c r="D43" s="10">
        <v>0.136</v>
      </c>
      <c r="E43" s="10">
        <v>0.144</v>
      </c>
      <c r="F43" s="10">
        <v>0.148</v>
      </c>
      <c r="G43" s="10">
        <v>0.148</v>
      </c>
      <c r="H43" s="10">
        <v>0.156</v>
      </c>
      <c r="I43" s="10">
        <v>0.15</v>
      </c>
      <c r="J43" s="10">
        <v>0.151</v>
      </c>
      <c r="K43" s="10">
        <v>0.156</v>
      </c>
      <c r="L43" s="10">
        <v>0.154</v>
      </c>
      <c r="M43" s="10">
        <v>0.146</v>
      </c>
      <c r="N43" s="10">
        <v>0.106</v>
      </c>
      <c r="O43" s="9">
        <v>600.0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2.75" customHeight="1">
      <c r="A44" s="20"/>
      <c r="B44" s="7" t="s">
        <v>117</v>
      </c>
      <c r="C44" s="10">
        <v>0.103</v>
      </c>
      <c r="D44" s="10">
        <v>0.102</v>
      </c>
      <c r="E44" s="10">
        <v>0.107</v>
      </c>
      <c r="F44" s="10">
        <v>0.105</v>
      </c>
      <c r="G44" s="10">
        <v>0.107</v>
      </c>
      <c r="H44" s="10">
        <v>0.113</v>
      </c>
      <c r="I44" s="10">
        <v>0.104</v>
      </c>
      <c r="J44" s="10">
        <v>0.103</v>
      </c>
      <c r="K44" s="10">
        <v>0.103</v>
      </c>
      <c r="L44" s="10">
        <v>0.104</v>
      </c>
      <c r="M44" s="10">
        <v>0.103</v>
      </c>
      <c r="N44" s="10">
        <v>0.104</v>
      </c>
      <c r="O44" s="9">
        <v>600.0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2.75" customHeight="1">
      <c r="A47" s="20"/>
      <c r="B47" s="20"/>
      <c r="F47" s="1">
        <f t="shared" ref="F47:N47" si="1">F38-$P$37</f>
        <v>1.101</v>
      </c>
      <c r="G47" s="1">
        <f t="shared" si="1"/>
        <v>1.079</v>
      </c>
      <c r="H47" s="1">
        <f t="shared" si="1"/>
        <v>1.085</v>
      </c>
      <c r="I47" s="1">
        <f t="shared" si="1"/>
        <v>1.128</v>
      </c>
      <c r="J47" s="1">
        <f t="shared" si="1"/>
        <v>1.119</v>
      </c>
      <c r="K47" s="1">
        <f t="shared" si="1"/>
        <v>1.101</v>
      </c>
      <c r="L47" s="1">
        <f t="shared" si="1"/>
        <v>1.084</v>
      </c>
      <c r="M47" s="1">
        <f t="shared" si="1"/>
        <v>1.084</v>
      </c>
      <c r="N47" s="1">
        <f t="shared" si="1"/>
        <v>1.043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2.75" customHeight="1">
      <c r="A48" s="20"/>
      <c r="B48" s="20"/>
      <c r="F48" s="1">
        <f t="shared" ref="F48:N48" si="2">F39-$P$37</f>
        <v>1.084</v>
      </c>
      <c r="G48" s="1">
        <f t="shared" si="2"/>
        <v>1.068</v>
      </c>
      <c r="H48" s="1">
        <f t="shared" si="2"/>
        <v>1.087</v>
      </c>
      <c r="I48" s="1">
        <f t="shared" si="2"/>
        <v>1.073</v>
      </c>
      <c r="J48" s="1">
        <f t="shared" si="2"/>
        <v>1.059</v>
      </c>
      <c r="K48" s="1">
        <f t="shared" si="2"/>
        <v>1.049</v>
      </c>
      <c r="L48" s="1">
        <f t="shared" si="2"/>
        <v>1.068</v>
      </c>
      <c r="M48" s="1">
        <f t="shared" si="2"/>
        <v>1.042</v>
      </c>
      <c r="N48" s="1">
        <f t="shared" si="2"/>
        <v>1.028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2.75" customHeight="1">
      <c r="A49" s="20"/>
      <c r="B49" s="20"/>
      <c r="F49" s="1">
        <f t="shared" ref="F49:N49" si="3">F40-$P$37</f>
        <v>0.994</v>
      </c>
      <c r="G49" s="1">
        <f t="shared" si="3"/>
        <v>1.041</v>
      </c>
      <c r="H49" s="1">
        <f t="shared" si="3"/>
        <v>1.034</v>
      </c>
      <c r="I49" s="1">
        <f t="shared" si="3"/>
        <v>1.007</v>
      </c>
      <c r="J49" s="1">
        <f t="shared" si="3"/>
        <v>0.991</v>
      </c>
      <c r="K49" s="1">
        <f t="shared" si="3"/>
        <v>0.987</v>
      </c>
      <c r="L49" s="1">
        <f t="shared" si="3"/>
        <v>1.032</v>
      </c>
      <c r="M49" s="1">
        <f t="shared" si="3"/>
        <v>1.018</v>
      </c>
      <c r="N49" s="1">
        <f t="shared" si="3"/>
        <v>0.982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2.75" customHeight="1">
      <c r="A50" s="20"/>
      <c r="B50" s="20"/>
      <c r="F50" s="1">
        <f t="shared" ref="F50:N50" si="4">F41-$P$37</f>
        <v>0.081</v>
      </c>
      <c r="G50" s="1">
        <f t="shared" si="4"/>
        <v>0.077</v>
      </c>
      <c r="H50" s="1">
        <f t="shared" si="4"/>
        <v>0.089</v>
      </c>
      <c r="I50" s="1">
        <f t="shared" si="4"/>
        <v>0.086</v>
      </c>
      <c r="J50" s="1">
        <f t="shared" si="4"/>
        <v>0.088</v>
      </c>
      <c r="K50" s="1">
        <f t="shared" si="4"/>
        <v>0.097</v>
      </c>
      <c r="L50" s="1">
        <f t="shared" si="4"/>
        <v>0.078</v>
      </c>
      <c r="M50" s="1">
        <f t="shared" si="4"/>
        <v>0.061</v>
      </c>
      <c r="N50" s="1">
        <f t="shared" si="4"/>
        <v>0.05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2.75" customHeight="1">
      <c r="A51" s="20"/>
      <c r="B51" s="20"/>
      <c r="F51" s="1">
        <f t="shared" ref="F51:N51" si="5">F42-$P$37</f>
        <v>0.052</v>
      </c>
      <c r="G51" s="1">
        <f t="shared" si="5"/>
        <v>0.055</v>
      </c>
      <c r="H51" s="1">
        <f t="shared" si="5"/>
        <v>0.06</v>
      </c>
      <c r="I51" s="1">
        <f t="shared" si="5"/>
        <v>0.056</v>
      </c>
      <c r="J51" s="1">
        <f t="shared" si="5"/>
        <v>0.058</v>
      </c>
      <c r="K51" s="1">
        <f t="shared" si="5"/>
        <v>0.053</v>
      </c>
      <c r="L51" s="1">
        <f t="shared" si="5"/>
        <v>0.057</v>
      </c>
      <c r="M51" s="1">
        <f t="shared" si="5"/>
        <v>0.047</v>
      </c>
      <c r="N51" s="1">
        <f t="shared" si="5"/>
        <v>0.026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2.75" customHeight="1">
      <c r="A52" s="20"/>
      <c r="B52" s="20"/>
      <c r="F52" s="1">
        <f t="shared" ref="F52:N52" si="6">F43-$P$37</f>
        <v>0.045</v>
      </c>
      <c r="G52" s="1">
        <f t="shared" si="6"/>
        <v>0.045</v>
      </c>
      <c r="H52" s="1">
        <f t="shared" si="6"/>
        <v>0.053</v>
      </c>
      <c r="I52" s="1">
        <f t="shared" si="6"/>
        <v>0.047</v>
      </c>
      <c r="J52" s="1">
        <f t="shared" si="6"/>
        <v>0.048</v>
      </c>
      <c r="K52" s="1">
        <f t="shared" si="6"/>
        <v>0.053</v>
      </c>
      <c r="L52" s="1">
        <f t="shared" si="6"/>
        <v>0.051</v>
      </c>
      <c r="M52" s="1">
        <f t="shared" si="6"/>
        <v>0.043</v>
      </c>
      <c r="N52" s="1">
        <f t="shared" si="6"/>
        <v>0.003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2.75" customHeight="1">
      <c r="A53" s="20"/>
      <c r="B53" s="20"/>
      <c r="F53" s="1">
        <f t="shared" ref="F53:N53" si="7">F44-$P$37</f>
        <v>0.002</v>
      </c>
      <c r="G53" s="1">
        <f t="shared" si="7"/>
        <v>0.004</v>
      </c>
      <c r="H53" s="1">
        <f t="shared" si="7"/>
        <v>0.01</v>
      </c>
      <c r="I53" s="1">
        <f t="shared" si="7"/>
        <v>0.001</v>
      </c>
      <c r="J53" s="1">
        <f t="shared" si="7"/>
        <v>0</v>
      </c>
      <c r="K53" s="1">
        <f t="shared" si="7"/>
        <v>0</v>
      </c>
      <c r="L53" s="1">
        <f t="shared" si="7"/>
        <v>0.001</v>
      </c>
      <c r="M53" s="1">
        <f t="shared" si="7"/>
        <v>0</v>
      </c>
      <c r="N53" s="1">
        <f t="shared" si="7"/>
        <v>0.001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2.75" customHeight="1">
      <c r="A54" s="20"/>
      <c r="B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2.75" customHeight="1">
      <c r="A55" s="20"/>
      <c r="B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2.75" customHeight="1">
      <c r="A56" s="20"/>
      <c r="B56" s="20"/>
      <c r="F56" s="1">
        <f t="shared" ref="F56:F62" si="8">F47/$F$47</f>
        <v>1</v>
      </c>
      <c r="G56" s="1">
        <f t="shared" ref="G56:G62" si="9">G47/$G$47</f>
        <v>1</v>
      </c>
      <c r="H56" s="1">
        <f t="shared" ref="H56:H62" si="10">H47/$H$47</f>
        <v>1</v>
      </c>
      <c r="I56" s="1">
        <f t="shared" ref="I56:I62" si="11">I47/$I$47</f>
        <v>1</v>
      </c>
      <c r="J56" s="1">
        <f t="shared" ref="J56:J62" si="12">J47/$J$47</f>
        <v>1</v>
      </c>
      <c r="K56" s="1">
        <f t="shared" ref="K56:K62" si="13">K47/$K$47</f>
        <v>1</v>
      </c>
      <c r="L56" s="1">
        <f t="shared" ref="L56:L62" si="14">L47/$L$47</f>
        <v>1</v>
      </c>
      <c r="M56" s="1">
        <f t="shared" ref="M56:M62" si="15">M47/$M$47</f>
        <v>1</v>
      </c>
      <c r="N56" s="1">
        <f t="shared" ref="N56:N62" si="16">N47/$N$47</f>
        <v>1</v>
      </c>
      <c r="O56" s="20"/>
      <c r="P56" s="21" t="s">
        <v>151</v>
      </c>
      <c r="Q56" s="21">
        <v>2875.0</v>
      </c>
      <c r="R56" s="21" t="s">
        <v>152</v>
      </c>
      <c r="S56" s="21" t="s">
        <v>153</v>
      </c>
      <c r="T56" s="21">
        <v>2876.0</v>
      </c>
      <c r="U56" s="21" t="s">
        <v>154</v>
      </c>
      <c r="V56" s="21" t="s">
        <v>155</v>
      </c>
      <c r="W56" s="21">
        <v>5192.0</v>
      </c>
      <c r="X56" s="21" t="s">
        <v>156</v>
      </c>
      <c r="Y56" s="21" t="s">
        <v>157</v>
      </c>
      <c r="Z56" s="20"/>
      <c r="AA56" s="20"/>
      <c r="AB56" s="20"/>
    </row>
    <row r="57" ht="12.75" customHeight="1">
      <c r="A57" s="20"/>
      <c r="B57" s="20"/>
      <c r="F57" s="1">
        <f t="shared" si="8"/>
        <v>0.9845594914</v>
      </c>
      <c r="G57" s="1">
        <f t="shared" si="9"/>
        <v>0.9898053753</v>
      </c>
      <c r="H57" s="1">
        <f t="shared" si="10"/>
        <v>1.001843318</v>
      </c>
      <c r="I57" s="1">
        <f t="shared" si="11"/>
        <v>0.9512411348</v>
      </c>
      <c r="J57" s="1">
        <f t="shared" si="12"/>
        <v>0.9463806971</v>
      </c>
      <c r="K57" s="1">
        <f t="shared" si="13"/>
        <v>0.9527702089</v>
      </c>
      <c r="L57" s="1">
        <f t="shared" si="14"/>
        <v>0.9852398524</v>
      </c>
      <c r="M57" s="1">
        <f t="shared" si="15"/>
        <v>0.9612546125</v>
      </c>
      <c r="N57" s="1">
        <f t="shared" si="16"/>
        <v>0.9856184084</v>
      </c>
      <c r="O57" s="20"/>
      <c r="P57" s="21" t="s">
        <v>141</v>
      </c>
      <c r="Q57" s="20">
        <f t="shared" ref="Q57:Y57" si="17">average(F56,F65,F74)</f>
        <v>1</v>
      </c>
      <c r="R57" s="20">
        <f t="shared" si="17"/>
        <v>1</v>
      </c>
      <c r="S57" s="20">
        <f t="shared" si="17"/>
        <v>1</v>
      </c>
      <c r="T57" s="20">
        <f t="shared" si="17"/>
        <v>1</v>
      </c>
      <c r="U57" s="20">
        <f t="shared" si="17"/>
        <v>1</v>
      </c>
      <c r="V57" s="20">
        <f t="shared" si="17"/>
        <v>1</v>
      </c>
      <c r="W57" s="20">
        <f t="shared" si="17"/>
        <v>1</v>
      </c>
      <c r="X57" s="20">
        <f t="shared" si="17"/>
        <v>1</v>
      </c>
      <c r="Y57" s="20">
        <f t="shared" si="17"/>
        <v>1</v>
      </c>
      <c r="Z57" s="20"/>
      <c r="AA57" s="20"/>
      <c r="AB57" s="20"/>
    </row>
    <row r="58" ht="12.75" customHeight="1">
      <c r="A58" s="20"/>
      <c r="B58" s="20"/>
      <c r="F58" s="1">
        <f t="shared" si="8"/>
        <v>0.9028156222</v>
      </c>
      <c r="G58" s="1">
        <f t="shared" si="9"/>
        <v>0.9647822057</v>
      </c>
      <c r="H58" s="1">
        <f t="shared" si="10"/>
        <v>0.9529953917</v>
      </c>
      <c r="I58" s="1">
        <f t="shared" si="11"/>
        <v>0.8927304965</v>
      </c>
      <c r="J58" s="1">
        <f t="shared" si="12"/>
        <v>0.8856121537</v>
      </c>
      <c r="K58" s="1">
        <f t="shared" si="13"/>
        <v>0.8964577657</v>
      </c>
      <c r="L58" s="1">
        <f t="shared" si="14"/>
        <v>0.9520295203</v>
      </c>
      <c r="M58" s="1">
        <f t="shared" si="15"/>
        <v>0.9391143911</v>
      </c>
      <c r="N58" s="1">
        <f t="shared" si="16"/>
        <v>0.941514861</v>
      </c>
      <c r="O58" s="20"/>
      <c r="P58" s="22" t="s">
        <v>158</v>
      </c>
      <c r="Q58" s="20">
        <f t="shared" ref="Q58:Y58" si="18">average(F57,F66,F75)</f>
        <v>0.9951086168</v>
      </c>
      <c r="R58" s="20">
        <f t="shared" si="18"/>
        <v>1.000856339</v>
      </c>
      <c r="S58" s="20">
        <f t="shared" si="18"/>
        <v>1.005139389</v>
      </c>
      <c r="T58" s="20">
        <f t="shared" si="18"/>
        <v>0.9647921313</v>
      </c>
      <c r="U58" s="20">
        <f t="shared" si="18"/>
        <v>0.9649928493</v>
      </c>
      <c r="V58" s="20">
        <f t="shared" si="18"/>
        <v>0.9655525659</v>
      </c>
      <c r="W58" s="20">
        <f t="shared" si="18"/>
        <v>1.009166336</v>
      </c>
      <c r="X58" s="20">
        <f t="shared" si="18"/>
        <v>1.010714815</v>
      </c>
      <c r="Y58" s="20">
        <f t="shared" si="18"/>
        <v>1.006073545</v>
      </c>
      <c r="Z58" s="20"/>
      <c r="AA58" s="20"/>
      <c r="AB58" s="20"/>
    </row>
    <row r="59" ht="12.75" customHeight="1">
      <c r="A59" s="20"/>
      <c r="B59" s="20"/>
      <c r="F59" s="1">
        <f t="shared" si="8"/>
        <v>0.07356948229</v>
      </c>
      <c r="G59" s="1">
        <f t="shared" si="9"/>
        <v>0.07136237257</v>
      </c>
      <c r="H59" s="1">
        <f t="shared" si="10"/>
        <v>0.08202764977</v>
      </c>
      <c r="I59" s="1">
        <f t="shared" si="11"/>
        <v>0.07624113475</v>
      </c>
      <c r="J59" s="1">
        <f t="shared" si="12"/>
        <v>0.07864164433</v>
      </c>
      <c r="K59" s="1">
        <f t="shared" si="13"/>
        <v>0.0881017257</v>
      </c>
      <c r="L59" s="1">
        <f t="shared" si="14"/>
        <v>0.07195571956</v>
      </c>
      <c r="M59" s="1">
        <f t="shared" si="15"/>
        <v>0.05627306273</v>
      </c>
      <c r="N59" s="1">
        <f t="shared" si="16"/>
        <v>0.04793863854</v>
      </c>
      <c r="O59" s="20"/>
      <c r="P59" s="21" t="s">
        <v>159</v>
      </c>
      <c r="Q59" s="20">
        <f t="shared" ref="Q59:Y59" si="19">average(F58,F67,F76)</f>
        <v>0.9577680533</v>
      </c>
      <c r="R59" s="20">
        <f t="shared" si="19"/>
        <v>0.9811570866</v>
      </c>
      <c r="S59" s="20">
        <f t="shared" si="19"/>
        <v>0.9703370916</v>
      </c>
      <c r="T59" s="20">
        <f t="shared" si="19"/>
        <v>0.9195649421</v>
      </c>
      <c r="U59" s="20">
        <f t="shared" si="19"/>
        <v>0.900264902</v>
      </c>
      <c r="V59" s="20">
        <f t="shared" si="19"/>
        <v>0.8975115911</v>
      </c>
      <c r="W59" s="20">
        <f t="shared" si="19"/>
        <v>0.9799995677</v>
      </c>
      <c r="X59" s="20">
        <f t="shared" si="19"/>
        <v>0.9713841409</v>
      </c>
      <c r="Y59" s="20">
        <f t="shared" si="19"/>
        <v>0.9686307272</v>
      </c>
      <c r="Z59" s="20"/>
      <c r="AA59" s="20"/>
      <c r="AB59" s="20"/>
    </row>
    <row r="60" ht="12.75" customHeight="1">
      <c r="A60" s="20"/>
      <c r="B60" s="20"/>
      <c r="F60" s="1">
        <f t="shared" si="8"/>
        <v>0.0472297911</v>
      </c>
      <c r="G60" s="1">
        <f t="shared" si="9"/>
        <v>0.05097312326</v>
      </c>
      <c r="H60" s="1">
        <f t="shared" si="10"/>
        <v>0.05529953917</v>
      </c>
      <c r="I60" s="1">
        <f t="shared" si="11"/>
        <v>0.04964539007</v>
      </c>
      <c r="J60" s="1">
        <f t="shared" si="12"/>
        <v>0.05183199285</v>
      </c>
      <c r="K60" s="1">
        <f t="shared" si="13"/>
        <v>0.04813805631</v>
      </c>
      <c r="L60" s="1">
        <f t="shared" si="14"/>
        <v>0.05258302583</v>
      </c>
      <c r="M60" s="1">
        <f t="shared" si="15"/>
        <v>0.04335793358</v>
      </c>
      <c r="N60" s="1">
        <f t="shared" si="16"/>
        <v>0.02492809204</v>
      </c>
      <c r="O60" s="20"/>
      <c r="P60" s="21" t="s">
        <v>160</v>
      </c>
      <c r="Q60" s="20">
        <f t="shared" ref="Q60:Y60" si="20">average(F59,F68,F77)</f>
        <v>0.0463299603</v>
      </c>
      <c r="R60" s="20">
        <f t="shared" si="20"/>
        <v>0.03670305649</v>
      </c>
      <c r="S60" s="20">
        <f t="shared" si="20"/>
        <v>0.04114672545</v>
      </c>
      <c r="T60" s="20">
        <f t="shared" si="20"/>
        <v>0.03749210272</v>
      </c>
      <c r="U60" s="20">
        <f t="shared" si="20"/>
        <v>0.03678523213</v>
      </c>
      <c r="V60" s="20">
        <f t="shared" si="20"/>
        <v>0.04284771921</v>
      </c>
      <c r="W60" s="20">
        <f t="shared" si="20"/>
        <v>0.03805685819</v>
      </c>
      <c r="X60" s="20">
        <f t="shared" si="20"/>
        <v>0.03204716939</v>
      </c>
      <c r="Y60" s="20">
        <f t="shared" si="20"/>
        <v>0.01988293816</v>
      </c>
      <c r="Z60" s="20"/>
      <c r="AA60" s="20"/>
      <c r="AB60" s="20"/>
    </row>
    <row r="61" ht="12.75" customHeight="1">
      <c r="A61" s="20"/>
      <c r="B61" s="20"/>
      <c r="F61" s="1">
        <f t="shared" si="8"/>
        <v>0.0408719346</v>
      </c>
      <c r="G61" s="1">
        <f t="shared" si="9"/>
        <v>0.04170528267</v>
      </c>
      <c r="H61" s="1">
        <f t="shared" si="10"/>
        <v>0.04884792627</v>
      </c>
      <c r="I61" s="1">
        <f t="shared" si="11"/>
        <v>0.04166666667</v>
      </c>
      <c r="J61" s="1">
        <f t="shared" si="12"/>
        <v>0.04289544236</v>
      </c>
      <c r="K61" s="1">
        <f t="shared" si="13"/>
        <v>0.04813805631</v>
      </c>
      <c r="L61" s="1">
        <f t="shared" si="14"/>
        <v>0.04704797048</v>
      </c>
      <c r="M61" s="1">
        <f t="shared" si="15"/>
        <v>0.03966789668</v>
      </c>
      <c r="N61" s="1">
        <f t="shared" si="16"/>
        <v>0.002876318313</v>
      </c>
      <c r="O61" s="20"/>
      <c r="P61" s="21" t="s">
        <v>161</v>
      </c>
      <c r="Q61" s="20">
        <f t="shared" ref="Q61:Y61" si="21">average(F60,F69,F78)</f>
        <v>0.02786468044</v>
      </c>
      <c r="R61" s="20">
        <f t="shared" si="21"/>
        <v>0.02763500086</v>
      </c>
      <c r="S61" s="20">
        <f t="shared" si="21"/>
        <v>0.02900192308</v>
      </c>
      <c r="T61" s="20">
        <f t="shared" si="21"/>
        <v>0.02519671454</v>
      </c>
      <c r="U61" s="20">
        <f t="shared" si="21"/>
        <v>0.02627684888</v>
      </c>
      <c r="V61" s="20">
        <f t="shared" si="21"/>
        <v>0.02476803117</v>
      </c>
      <c r="W61" s="20">
        <f t="shared" si="21"/>
        <v>0.02822580479</v>
      </c>
      <c r="X61" s="20">
        <f t="shared" si="21"/>
        <v>0.02434124888</v>
      </c>
      <c r="Y61" s="20">
        <f t="shared" si="21"/>
        <v>0.01153006643</v>
      </c>
      <c r="Z61" s="20"/>
      <c r="AA61" s="20"/>
      <c r="AB61" s="20"/>
    </row>
    <row r="62" ht="12.75" customHeight="1">
      <c r="A62" s="20"/>
      <c r="B62" s="20"/>
      <c r="F62" s="1">
        <f t="shared" si="8"/>
        <v>0.001816530427</v>
      </c>
      <c r="G62" s="1">
        <f t="shared" si="9"/>
        <v>0.003707136237</v>
      </c>
      <c r="H62" s="1">
        <f t="shared" si="10"/>
        <v>0.009216589862</v>
      </c>
      <c r="I62" s="1">
        <f t="shared" si="11"/>
        <v>0.0008865248227</v>
      </c>
      <c r="J62" s="1">
        <f t="shared" si="12"/>
        <v>0</v>
      </c>
      <c r="K62" s="1">
        <f t="shared" si="13"/>
        <v>0</v>
      </c>
      <c r="L62" s="1">
        <f t="shared" si="14"/>
        <v>0.0009225092251</v>
      </c>
      <c r="M62" s="1">
        <f t="shared" si="15"/>
        <v>0</v>
      </c>
      <c r="N62" s="1">
        <f t="shared" si="16"/>
        <v>0.0009587727709</v>
      </c>
      <c r="O62" s="20"/>
      <c r="P62" s="21" t="s">
        <v>162</v>
      </c>
      <c r="Q62" s="20">
        <f t="shared" ref="Q62:Y62" si="22">average(F61,F70,F79)</f>
        <v>0.02185050548</v>
      </c>
      <c r="R62" s="20">
        <f t="shared" si="22"/>
        <v>0.01995689292</v>
      </c>
      <c r="S62" s="20">
        <f t="shared" si="22"/>
        <v>0.0210078209</v>
      </c>
      <c r="T62" s="20">
        <f t="shared" si="22"/>
        <v>0.01723693943</v>
      </c>
      <c r="U62" s="20">
        <f t="shared" si="22"/>
        <v>0.01794159381</v>
      </c>
      <c r="V62" s="20">
        <f t="shared" si="22"/>
        <v>0.02094138797</v>
      </c>
      <c r="W62" s="20">
        <f t="shared" si="22"/>
        <v>0.02042623606</v>
      </c>
      <c r="X62" s="20">
        <f t="shared" si="22"/>
        <v>0.01739808843</v>
      </c>
      <c r="Y62" s="20">
        <f t="shared" si="22"/>
        <v>0.003502083145</v>
      </c>
      <c r="Z62" s="20"/>
      <c r="AA62" s="20"/>
      <c r="AB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1" t="s">
        <v>163</v>
      </c>
      <c r="Q63" s="20">
        <f t="shared" ref="Q63:Y63" si="23">average(F62,F71,F80)</f>
        <v>0.003994530107</v>
      </c>
      <c r="R63" s="20">
        <f t="shared" si="23"/>
        <v>0.004004976187</v>
      </c>
      <c r="S63" s="20">
        <f t="shared" si="23"/>
        <v>0.007143887442</v>
      </c>
      <c r="T63" s="20">
        <f t="shared" si="23"/>
        <v>0.00139231083</v>
      </c>
      <c r="U63" s="20">
        <f t="shared" si="23"/>
        <v>0.001741696797</v>
      </c>
      <c r="V63" s="20">
        <f t="shared" si="23"/>
        <v>0.002077824879</v>
      </c>
      <c r="W63" s="20">
        <f t="shared" si="23"/>
        <v>0.002433230345</v>
      </c>
      <c r="X63" s="20">
        <f t="shared" si="23"/>
        <v>0.002179780166</v>
      </c>
      <c r="Y63" s="20">
        <f t="shared" si="23"/>
        <v>0.00286555006</v>
      </c>
      <c r="Z63" s="20"/>
      <c r="AA63" s="20"/>
      <c r="AB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2.75" customHeight="1">
      <c r="A65" s="20"/>
      <c r="B65" s="20"/>
      <c r="C65" s="20"/>
      <c r="D65" s="20"/>
      <c r="E65" s="20"/>
      <c r="F65" s="23">
        <v>1.0</v>
      </c>
      <c r="G65" s="23">
        <v>1.0</v>
      </c>
      <c r="H65" s="23">
        <v>1.0</v>
      </c>
      <c r="I65" s="23">
        <v>1.0</v>
      </c>
      <c r="J65" s="23">
        <v>1.0</v>
      </c>
      <c r="K65" s="23">
        <v>1.0</v>
      </c>
      <c r="L65" s="23">
        <v>1.0</v>
      </c>
      <c r="M65" s="23">
        <v>1.0</v>
      </c>
      <c r="N65" s="23">
        <v>1.0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2.75" customHeight="1">
      <c r="A66" s="20"/>
      <c r="B66" s="20"/>
      <c r="C66" s="20"/>
      <c r="D66" s="20"/>
      <c r="E66" s="20"/>
      <c r="F66" s="23">
        <v>0.9940954567820239</v>
      </c>
      <c r="G66" s="23">
        <v>1.0050142069196055</v>
      </c>
      <c r="H66" s="23">
        <v>0.9970593040352884</v>
      </c>
      <c r="I66" s="23">
        <v>0.9663838642548424</v>
      </c>
      <c r="J66" s="23">
        <v>0.9504840501507696</v>
      </c>
      <c r="K66" s="23">
        <v>0.9226587979499923</v>
      </c>
      <c r="L66" s="23">
        <v>0.9719309566059042</v>
      </c>
      <c r="M66" s="23">
        <v>1.0049891900881425</v>
      </c>
      <c r="N66" s="23">
        <v>1.010160880609653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2.75" customHeight="1">
      <c r="A67" s="20"/>
      <c r="B67" s="20"/>
      <c r="C67" s="20"/>
      <c r="D67" s="20"/>
      <c r="E67" s="20"/>
      <c r="F67" s="23">
        <v>1.0009840905363294</v>
      </c>
      <c r="G67" s="23">
        <v>1.0</v>
      </c>
      <c r="H67" s="23">
        <v>0.9764744322823068</v>
      </c>
      <c r="I67" s="23">
        <v>0.9375700336161358</v>
      </c>
      <c r="J67" s="23">
        <v>0.9047770195207109</v>
      </c>
      <c r="K67" s="23">
        <v>0.8732722472433608</v>
      </c>
      <c r="L67" s="23">
        <v>0.9728988546539766</v>
      </c>
      <c r="M67" s="23">
        <v>0.9760518875769166</v>
      </c>
      <c r="N67" s="23">
        <v>0.9796782387806943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2.75" customHeight="1">
      <c r="A68" s="20"/>
      <c r="B68" s="20"/>
      <c r="C68" s="20"/>
      <c r="D68" s="20"/>
      <c r="E68" s="20"/>
      <c r="F68" s="23">
        <v>0.034607183860915214</v>
      </c>
      <c r="G68" s="23">
        <v>0.014206919605549062</v>
      </c>
      <c r="H68" s="23">
        <v>0.01388661983336057</v>
      </c>
      <c r="I68" s="23">
        <v>0.013606531134944783</v>
      </c>
      <c r="J68" s="23">
        <v>0.012537692429773059</v>
      </c>
      <c r="K68" s="23">
        <v>0.015996272713154215</v>
      </c>
      <c r="L68" s="23">
        <v>0.012743990966284893</v>
      </c>
      <c r="M68" s="23">
        <v>0.011142524530184605</v>
      </c>
      <c r="N68" s="23">
        <v>0.005249788314987299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2.75" customHeight="1">
      <c r="A69" s="20"/>
      <c r="B69" s="20"/>
      <c r="C69" s="20"/>
      <c r="D69" s="20"/>
      <c r="E69" s="20"/>
      <c r="F69" s="23">
        <v>0.01984582581597507</v>
      </c>
      <c r="G69" s="23">
        <v>0.013204078221627951</v>
      </c>
      <c r="H69" s="23">
        <v>0.014866851821597787</v>
      </c>
      <c r="I69" s="23">
        <v>0.011685609092364341</v>
      </c>
      <c r="J69" s="23">
        <v>0.012537692429773059</v>
      </c>
      <c r="K69" s="23">
        <v>0.010405342444478962</v>
      </c>
      <c r="L69" s="23">
        <v>0.014679787062429435</v>
      </c>
      <c r="M69" s="23">
        <v>0.015133876600698495</v>
      </c>
      <c r="N69" s="23">
        <v>0.007281964436917868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2.75" customHeight="1">
      <c r="A70" s="20"/>
      <c r="B70" s="20"/>
      <c r="C70" s="20"/>
      <c r="D70" s="20"/>
      <c r="E70" s="20"/>
      <c r="F70" s="23">
        <v>0.011973101525340337</v>
      </c>
      <c r="G70" s="23">
        <v>0.007187029918101288</v>
      </c>
      <c r="H70" s="23">
        <v>0.009965691880411702</v>
      </c>
      <c r="I70" s="23">
        <v>0.008804226028493681</v>
      </c>
      <c r="J70" s="23">
        <v>0.008728773210601495</v>
      </c>
      <c r="K70" s="23">
        <v>0.007609877310141329</v>
      </c>
      <c r="L70" s="23">
        <v>0.00887239877399581</v>
      </c>
      <c r="M70" s="23">
        <v>0.00914684849492766</v>
      </c>
      <c r="N70" s="23">
        <v>0.005249788314987299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2.75" customHeight="1">
      <c r="A71" s="20"/>
      <c r="B71" s="20"/>
      <c r="C71" s="20"/>
      <c r="D71" s="20"/>
      <c r="E71" s="20"/>
      <c r="F71" s="23">
        <v>0.005084467771034935</v>
      </c>
      <c r="G71" s="23">
        <v>0.002172822998495735</v>
      </c>
      <c r="H71" s="23">
        <v>0.008005227903937267</v>
      </c>
      <c r="I71" s="23">
        <v>0.0011205378581719192</v>
      </c>
      <c r="J71" s="23">
        <v>0.00396762418663704</v>
      </c>
      <c r="K71" s="23">
        <v>0.0010871253300201863</v>
      </c>
      <c r="L71" s="23">
        <v>0.004032908533634457</v>
      </c>
      <c r="M71" s="23">
        <v>0.003159820389156825</v>
      </c>
      <c r="N71" s="23">
        <v>0.00321761219305673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2.75" customHeight="1">
      <c r="A74" s="20"/>
      <c r="B74" s="20"/>
      <c r="C74" s="20"/>
      <c r="D74" s="20"/>
      <c r="E74" s="20"/>
      <c r="F74" s="23">
        <v>1.0</v>
      </c>
      <c r="G74" s="23">
        <v>1.0</v>
      </c>
      <c r="H74" s="23">
        <v>1.0</v>
      </c>
      <c r="I74" s="23">
        <v>1.0</v>
      </c>
      <c r="J74" s="23">
        <v>1.0</v>
      </c>
      <c r="K74" s="23">
        <v>1.0</v>
      </c>
      <c r="L74" s="23">
        <v>1.0</v>
      </c>
      <c r="M74" s="23">
        <v>1.0</v>
      </c>
      <c r="N74" s="23">
        <v>1.0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2.75" customHeight="1">
      <c r="A75" s="20"/>
      <c r="B75" s="20"/>
      <c r="C75" s="20"/>
      <c r="D75" s="20"/>
      <c r="E75" s="20"/>
      <c r="F75" s="23">
        <v>1.0066709021601017</v>
      </c>
      <c r="G75" s="23">
        <v>1.007749434937036</v>
      </c>
      <c r="H75" s="23">
        <v>1.0165155440414508</v>
      </c>
      <c r="I75" s="23">
        <v>0.9767513949163051</v>
      </c>
      <c r="J75" s="23">
        <v>0.9981138006916064</v>
      </c>
      <c r="K75" s="23">
        <v>1.0212286908973947</v>
      </c>
      <c r="L75" s="23">
        <v>1.0703281982585398</v>
      </c>
      <c r="M75" s="23">
        <v>1.0659006421088204</v>
      </c>
      <c r="N75" s="23">
        <v>1.0224413464807889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2.75" customHeight="1">
      <c r="A76" s="20"/>
      <c r="B76" s="20"/>
      <c r="C76" s="20"/>
      <c r="D76" s="20"/>
      <c r="E76" s="20"/>
      <c r="F76" s="23">
        <v>0.9695044472681069</v>
      </c>
      <c r="G76" s="23">
        <v>0.9786890539231514</v>
      </c>
      <c r="H76" s="23">
        <v>0.9815414507772021</v>
      </c>
      <c r="I76" s="23">
        <v>0.9283942963422195</v>
      </c>
      <c r="J76" s="23">
        <v>0.9104055328513047</v>
      </c>
      <c r="K76" s="23">
        <v>0.9228047603731102</v>
      </c>
      <c r="L76" s="23">
        <v>1.0150703281982585</v>
      </c>
      <c r="M76" s="23">
        <v>0.9989861439675567</v>
      </c>
      <c r="N76" s="23">
        <v>0.9846990819449168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2.75" customHeight="1">
      <c r="A77" s="20"/>
      <c r="B77" s="20"/>
      <c r="C77" s="20"/>
      <c r="D77" s="20"/>
      <c r="E77" s="20"/>
      <c r="F77" s="23">
        <v>0.030813214739517147</v>
      </c>
      <c r="G77" s="23">
        <v>0.024539877300613484</v>
      </c>
      <c r="H77" s="23">
        <v>0.027525906735751286</v>
      </c>
      <c r="I77" s="23">
        <v>0.0226286422814631</v>
      </c>
      <c r="J77" s="23">
        <v>0.019176359635334782</v>
      </c>
      <c r="K77" s="23">
        <v>0.024445159215181717</v>
      </c>
      <c r="L77" s="23">
        <v>0.02947086403215002</v>
      </c>
      <c r="M77" s="23">
        <v>0.02872592091922946</v>
      </c>
      <c r="N77" s="23">
        <v>0.006460387623257378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2.75" customHeight="1">
      <c r="A78" s="20"/>
      <c r="B78" s="20"/>
      <c r="C78" s="20"/>
      <c r="D78" s="20"/>
      <c r="E78" s="20"/>
      <c r="F78" s="23">
        <v>0.016518424396442168</v>
      </c>
      <c r="G78" s="23">
        <v>0.0187278010978366</v>
      </c>
      <c r="H78" s="23">
        <v>0.01683937823834195</v>
      </c>
      <c r="I78" s="23">
        <v>0.014259144451332912</v>
      </c>
      <c r="J78" s="23">
        <v>0.014460861364350824</v>
      </c>
      <c r="K78" s="23">
        <v>0.015760694757156635</v>
      </c>
      <c r="L78" s="23">
        <v>0.01741460147354318</v>
      </c>
      <c r="M78" s="23">
        <v>0.014531936465021957</v>
      </c>
      <c r="N78" s="23">
        <v>0.0023801428085684926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2.75" customHeight="1">
      <c r="A79" s="20"/>
      <c r="B79" s="20"/>
      <c r="C79" s="20"/>
      <c r="D79" s="20"/>
      <c r="E79" s="20"/>
      <c r="F79" s="23">
        <v>0.012706480304955518</v>
      </c>
      <c r="G79" s="23">
        <v>0.010978366160800763</v>
      </c>
      <c r="H79" s="23">
        <v>0.004209844559585474</v>
      </c>
      <c r="I79" s="23">
        <v>0.001239925604463712</v>
      </c>
      <c r="J79" s="23">
        <v>0.0022005658597924983</v>
      </c>
      <c r="K79" s="23">
        <v>0.0070762302991315374</v>
      </c>
      <c r="L79" s="23">
        <v>0.0053583389149363505</v>
      </c>
      <c r="M79" s="23">
        <v>0.003379520108144623</v>
      </c>
      <c r="N79" s="23">
        <v>0.0023801428085684926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2.75" customHeight="1">
      <c r="A80" s="20"/>
      <c r="B80" s="20"/>
      <c r="C80" s="20"/>
      <c r="D80" s="20"/>
      <c r="E80" s="20"/>
      <c r="F80" s="23">
        <v>0.005082592121982194</v>
      </c>
      <c r="G80" s="23">
        <v>0.006134969325153357</v>
      </c>
      <c r="H80" s="23">
        <v>0.004209844559585474</v>
      </c>
      <c r="I80" s="23">
        <v>0.0021698698078115117</v>
      </c>
      <c r="J80" s="23">
        <v>0.001257466205595704</v>
      </c>
      <c r="K80" s="23">
        <v>0.005146349308459294</v>
      </c>
      <c r="L80" s="23">
        <v>0.0023442732752846406</v>
      </c>
      <c r="M80" s="23">
        <v>0.003379520108144623</v>
      </c>
      <c r="N80" s="23">
        <v>0.004420265215912936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conditionalFormatting sqref="Z56:AB63 Q57:Y63">
    <cfRule type="colorScale" priority="1">
      <colorScale>
        <cfvo type="formula" val="0"/>
        <cfvo type="formula" val="1"/>
        <color rgb="FF000000"/>
        <color rgb="FF4A86E8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0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2</v>
      </c>
      <c r="B4" s="20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4</v>
      </c>
      <c r="B5" s="20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6</v>
      </c>
      <c r="B6" s="20" t="s">
        <v>164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8</v>
      </c>
      <c r="B7" s="2">
        <v>45967.0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</v>
      </c>
      <c r="B8" s="3">
        <v>0.6716666666666667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10</v>
      </c>
      <c r="B9" s="20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12</v>
      </c>
      <c r="B10" s="20">
        <v>1803065.0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13</v>
      </c>
      <c r="B11" s="20" t="s">
        <v>14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4" t="s">
        <v>15</v>
      </c>
      <c r="B13" s="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 t="s">
        <v>16</v>
      </c>
      <c r="B14" s="20" t="s">
        <v>17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 t="s">
        <v>18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 t="s">
        <v>19</v>
      </c>
      <c r="B16" s="20" t="s">
        <v>20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 t="s">
        <v>21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 t="s">
        <v>22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4" t="s">
        <v>24</v>
      </c>
      <c r="B21" s="5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4" t="s">
        <v>130</v>
      </c>
      <c r="B33" s="5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 t="s">
        <v>131</v>
      </c>
      <c r="B34" s="20">
        <v>28.9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7" t="s">
        <v>25</v>
      </c>
      <c r="C37" s="10">
        <v>0.099</v>
      </c>
      <c r="D37" s="10">
        <v>0.099</v>
      </c>
      <c r="E37" s="10">
        <v>0.099</v>
      </c>
      <c r="F37" s="10">
        <v>0.098</v>
      </c>
      <c r="G37" s="10">
        <v>0.105</v>
      </c>
      <c r="H37" s="10">
        <v>0.103</v>
      </c>
      <c r="I37" s="10">
        <v>0.1</v>
      </c>
      <c r="J37" s="10">
        <v>0.106</v>
      </c>
      <c r="K37" s="10">
        <v>0.101</v>
      </c>
      <c r="L37" s="10">
        <v>0.101</v>
      </c>
      <c r="M37" s="10">
        <v>0.1</v>
      </c>
      <c r="N37" s="10">
        <v>0.099</v>
      </c>
      <c r="O37" s="9">
        <v>600.0</v>
      </c>
      <c r="P37" s="20">
        <f>average(C37:N37)</f>
        <v>0.1008333333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7" t="s">
        <v>39</v>
      </c>
      <c r="C38" s="10">
        <v>0.102</v>
      </c>
      <c r="D38" s="10">
        <v>0.107</v>
      </c>
      <c r="E38" s="10">
        <v>0.109</v>
      </c>
      <c r="F38" s="11">
        <v>1.117</v>
      </c>
      <c r="G38" s="11">
        <v>1.098</v>
      </c>
      <c r="H38" s="11">
        <v>1.121</v>
      </c>
      <c r="I38" s="11">
        <v>1.142</v>
      </c>
      <c r="J38" s="11">
        <v>1.151</v>
      </c>
      <c r="K38" s="11">
        <v>1.174</v>
      </c>
      <c r="L38" s="11">
        <v>1.134</v>
      </c>
      <c r="M38" s="11">
        <v>1.103</v>
      </c>
      <c r="N38" s="12">
        <v>1.085</v>
      </c>
      <c r="O38" s="9">
        <v>600.0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7" t="s">
        <v>52</v>
      </c>
      <c r="C39" s="10">
        <v>0.105</v>
      </c>
      <c r="D39" s="10">
        <v>0.109</v>
      </c>
      <c r="E39" s="10">
        <v>0.113</v>
      </c>
      <c r="F39" s="11">
        <v>1.111</v>
      </c>
      <c r="G39" s="11">
        <v>1.103</v>
      </c>
      <c r="H39" s="11">
        <v>1.118</v>
      </c>
      <c r="I39" s="11">
        <v>1.107</v>
      </c>
      <c r="J39" s="11">
        <v>1.099</v>
      </c>
      <c r="K39" s="12">
        <v>1.091</v>
      </c>
      <c r="L39" s="11">
        <v>1.105</v>
      </c>
      <c r="M39" s="11">
        <v>1.108</v>
      </c>
      <c r="N39" s="12">
        <v>1.095</v>
      </c>
      <c r="O39" s="9">
        <v>600.0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7" t="s">
        <v>65</v>
      </c>
      <c r="C40" s="10">
        <v>0.102</v>
      </c>
      <c r="D40" s="10">
        <v>0.109</v>
      </c>
      <c r="E40" s="10">
        <v>0.115</v>
      </c>
      <c r="F40" s="11">
        <v>1.118</v>
      </c>
      <c r="G40" s="11">
        <v>1.098</v>
      </c>
      <c r="H40" s="12">
        <v>1.097</v>
      </c>
      <c r="I40" s="12">
        <v>1.077</v>
      </c>
      <c r="J40" s="12">
        <v>1.051</v>
      </c>
      <c r="K40" s="12">
        <v>1.038</v>
      </c>
      <c r="L40" s="11">
        <v>1.106</v>
      </c>
      <c r="M40" s="12">
        <v>1.079</v>
      </c>
      <c r="N40" s="12">
        <v>1.065</v>
      </c>
      <c r="O40" s="9">
        <v>600.0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7" t="s">
        <v>78</v>
      </c>
      <c r="C41" s="10">
        <v>0.1</v>
      </c>
      <c r="D41" s="10">
        <v>0.108</v>
      </c>
      <c r="E41" s="10">
        <v>0.111</v>
      </c>
      <c r="F41" s="10">
        <v>0.136</v>
      </c>
      <c r="G41" s="10">
        <v>0.115</v>
      </c>
      <c r="H41" s="10">
        <v>0.115</v>
      </c>
      <c r="I41" s="10">
        <v>0.115</v>
      </c>
      <c r="J41" s="10">
        <v>0.114</v>
      </c>
      <c r="K41" s="10">
        <v>0.118</v>
      </c>
      <c r="L41" s="10">
        <v>0.114</v>
      </c>
      <c r="M41" s="10">
        <v>0.112</v>
      </c>
      <c r="N41" s="10">
        <v>0.106</v>
      </c>
      <c r="O41" s="9">
        <v>600.0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7" t="s">
        <v>91</v>
      </c>
      <c r="C42" s="10">
        <v>0.105</v>
      </c>
      <c r="D42" s="10">
        <v>0.108</v>
      </c>
      <c r="E42" s="10">
        <v>0.112</v>
      </c>
      <c r="F42" s="10">
        <v>0.121</v>
      </c>
      <c r="G42" s="10">
        <v>0.114</v>
      </c>
      <c r="H42" s="10">
        <v>0.116</v>
      </c>
      <c r="I42" s="10">
        <v>0.113</v>
      </c>
      <c r="J42" s="10">
        <v>0.114</v>
      </c>
      <c r="K42" s="10">
        <v>0.112</v>
      </c>
      <c r="L42" s="10">
        <v>0.116</v>
      </c>
      <c r="M42" s="10">
        <v>0.116</v>
      </c>
      <c r="N42" s="10">
        <v>0.108</v>
      </c>
      <c r="O42" s="9">
        <v>600.0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7" t="s">
        <v>104</v>
      </c>
      <c r="C43" s="10">
        <v>0.1</v>
      </c>
      <c r="D43" s="10">
        <v>0.102</v>
      </c>
      <c r="E43" s="10">
        <v>0.107</v>
      </c>
      <c r="F43" s="10">
        <v>0.113</v>
      </c>
      <c r="G43" s="10">
        <v>0.108</v>
      </c>
      <c r="H43" s="10">
        <v>0.111</v>
      </c>
      <c r="I43" s="10">
        <v>0.11</v>
      </c>
      <c r="J43" s="10">
        <v>0.11</v>
      </c>
      <c r="K43" s="10">
        <v>0.109</v>
      </c>
      <c r="L43" s="10">
        <v>0.11</v>
      </c>
      <c r="M43" s="10">
        <v>0.11</v>
      </c>
      <c r="N43" s="10">
        <v>0.106</v>
      </c>
      <c r="O43" s="9">
        <v>600.0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7" t="s">
        <v>117</v>
      </c>
      <c r="C44" s="10">
        <v>0.103</v>
      </c>
      <c r="D44" s="10">
        <v>0.101</v>
      </c>
      <c r="E44" s="10">
        <v>0.101</v>
      </c>
      <c r="F44" s="10">
        <v>0.106</v>
      </c>
      <c r="G44" s="10">
        <v>0.103</v>
      </c>
      <c r="H44" s="10">
        <v>0.109</v>
      </c>
      <c r="I44" s="10">
        <v>0.102</v>
      </c>
      <c r="J44" s="10">
        <v>0.105</v>
      </c>
      <c r="K44" s="10">
        <v>0.102</v>
      </c>
      <c r="L44" s="10">
        <v>0.105</v>
      </c>
      <c r="M44" s="10">
        <v>0.104</v>
      </c>
      <c r="N44" s="10">
        <v>0.104</v>
      </c>
      <c r="O44" s="9">
        <v>600.0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0"/>
      <c r="D47" s="20"/>
      <c r="E47" s="20"/>
      <c r="F47" s="1">
        <f t="shared" ref="F47:N47" si="1">F38-$P$37</f>
        <v>1.016166667</v>
      </c>
      <c r="G47" s="1">
        <f t="shared" si="1"/>
        <v>0.9971666667</v>
      </c>
      <c r="H47" s="1">
        <f t="shared" si="1"/>
        <v>1.020166667</v>
      </c>
      <c r="I47" s="1">
        <f t="shared" si="1"/>
        <v>1.041166667</v>
      </c>
      <c r="J47" s="1">
        <f t="shared" si="1"/>
        <v>1.050166667</v>
      </c>
      <c r="K47" s="1">
        <f t="shared" si="1"/>
        <v>1.073166667</v>
      </c>
      <c r="L47" s="1">
        <f t="shared" si="1"/>
        <v>1.033166667</v>
      </c>
      <c r="M47" s="1">
        <f t="shared" si="1"/>
        <v>1.002166667</v>
      </c>
      <c r="N47" s="1">
        <f t="shared" si="1"/>
        <v>0.9841666667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0"/>
      <c r="D48" s="20"/>
      <c r="E48" s="20"/>
      <c r="F48" s="1">
        <f t="shared" ref="F48:N48" si="2">F39-$P$37</f>
        <v>1.010166667</v>
      </c>
      <c r="G48" s="1">
        <f t="shared" si="2"/>
        <v>1.002166667</v>
      </c>
      <c r="H48" s="1">
        <f t="shared" si="2"/>
        <v>1.017166667</v>
      </c>
      <c r="I48" s="1">
        <f t="shared" si="2"/>
        <v>1.006166667</v>
      </c>
      <c r="J48" s="1">
        <f t="shared" si="2"/>
        <v>0.9981666667</v>
      </c>
      <c r="K48" s="1">
        <f t="shared" si="2"/>
        <v>0.9901666667</v>
      </c>
      <c r="L48" s="1">
        <f t="shared" si="2"/>
        <v>1.004166667</v>
      </c>
      <c r="M48" s="1">
        <f t="shared" si="2"/>
        <v>1.007166667</v>
      </c>
      <c r="N48" s="1">
        <f t="shared" si="2"/>
        <v>0.9941666667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0"/>
      <c r="D49" s="20"/>
      <c r="E49" s="20"/>
      <c r="F49" s="1">
        <f t="shared" ref="F49:N49" si="3">F40-$P$37</f>
        <v>1.017166667</v>
      </c>
      <c r="G49" s="1">
        <f t="shared" si="3"/>
        <v>0.9971666667</v>
      </c>
      <c r="H49" s="1">
        <f t="shared" si="3"/>
        <v>0.9961666667</v>
      </c>
      <c r="I49" s="1">
        <f t="shared" si="3"/>
        <v>0.9761666667</v>
      </c>
      <c r="J49" s="1">
        <f t="shared" si="3"/>
        <v>0.9501666667</v>
      </c>
      <c r="K49" s="1">
        <f t="shared" si="3"/>
        <v>0.9371666667</v>
      </c>
      <c r="L49" s="1">
        <f t="shared" si="3"/>
        <v>1.005166667</v>
      </c>
      <c r="M49" s="1">
        <f t="shared" si="3"/>
        <v>0.9781666667</v>
      </c>
      <c r="N49" s="1">
        <f t="shared" si="3"/>
        <v>0.9641666667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0"/>
      <c r="D50" s="20"/>
      <c r="E50" s="20"/>
      <c r="F50" s="1">
        <f t="shared" ref="F50:N50" si="4">F41-$P$37</f>
        <v>0.03516666667</v>
      </c>
      <c r="G50" s="1">
        <f t="shared" si="4"/>
        <v>0.01416666667</v>
      </c>
      <c r="H50" s="1">
        <f t="shared" si="4"/>
        <v>0.01416666667</v>
      </c>
      <c r="I50" s="1">
        <f t="shared" si="4"/>
        <v>0.01416666667</v>
      </c>
      <c r="J50" s="1">
        <f t="shared" si="4"/>
        <v>0.01316666667</v>
      </c>
      <c r="K50" s="1">
        <f t="shared" si="4"/>
        <v>0.01716666667</v>
      </c>
      <c r="L50" s="1">
        <f t="shared" si="4"/>
        <v>0.01316666667</v>
      </c>
      <c r="M50" s="1">
        <f t="shared" si="4"/>
        <v>0.01116666667</v>
      </c>
      <c r="N50" s="1">
        <f t="shared" si="4"/>
        <v>0.005166666667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0"/>
      <c r="D51" s="20"/>
      <c r="E51" s="20"/>
      <c r="F51" s="1">
        <f t="shared" ref="F51:N51" si="5">F42-$P$37</f>
        <v>0.02016666667</v>
      </c>
      <c r="G51" s="1">
        <f t="shared" si="5"/>
        <v>0.01316666667</v>
      </c>
      <c r="H51" s="1">
        <f t="shared" si="5"/>
        <v>0.01516666667</v>
      </c>
      <c r="I51" s="1">
        <f t="shared" si="5"/>
        <v>0.01216666667</v>
      </c>
      <c r="J51" s="1">
        <f t="shared" si="5"/>
        <v>0.01316666667</v>
      </c>
      <c r="K51" s="1">
        <f t="shared" si="5"/>
        <v>0.01116666667</v>
      </c>
      <c r="L51" s="1">
        <f t="shared" si="5"/>
        <v>0.01516666667</v>
      </c>
      <c r="M51" s="1">
        <f t="shared" si="5"/>
        <v>0.01516666667</v>
      </c>
      <c r="N51" s="1">
        <f t="shared" si="5"/>
        <v>0.007166666667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0"/>
      <c r="D52" s="20"/>
      <c r="E52" s="20"/>
      <c r="F52" s="1">
        <f t="shared" ref="F52:N52" si="6">F43-$P$37</f>
        <v>0.01216666667</v>
      </c>
      <c r="G52" s="1">
        <f t="shared" si="6"/>
        <v>0.007166666667</v>
      </c>
      <c r="H52" s="1">
        <f t="shared" si="6"/>
        <v>0.01016666667</v>
      </c>
      <c r="I52" s="1">
        <f t="shared" si="6"/>
        <v>0.009166666667</v>
      </c>
      <c r="J52" s="1">
        <f t="shared" si="6"/>
        <v>0.009166666667</v>
      </c>
      <c r="K52" s="1">
        <f t="shared" si="6"/>
        <v>0.008166666667</v>
      </c>
      <c r="L52" s="1">
        <f t="shared" si="6"/>
        <v>0.009166666667</v>
      </c>
      <c r="M52" s="1">
        <f t="shared" si="6"/>
        <v>0.009166666667</v>
      </c>
      <c r="N52" s="1">
        <f t="shared" si="6"/>
        <v>0.005166666667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0"/>
      <c r="D53" s="20"/>
      <c r="E53" s="20"/>
      <c r="F53" s="1">
        <f t="shared" ref="F53:N53" si="7">F44-$P$37</f>
        <v>0.005166666667</v>
      </c>
      <c r="G53" s="1">
        <f t="shared" si="7"/>
        <v>0.002166666667</v>
      </c>
      <c r="H53" s="1">
        <f t="shared" si="7"/>
        <v>0.008166666667</v>
      </c>
      <c r="I53" s="1">
        <f t="shared" si="7"/>
        <v>0.001166666667</v>
      </c>
      <c r="J53" s="1">
        <f t="shared" si="7"/>
        <v>0.004166666667</v>
      </c>
      <c r="K53" s="1">
        <f t="shared" si="7"/>
        <v>0.001166666667</v>
      </c>
      <c r="L53" s="1">
        <f t="shared" si="7"/>
        <v>0.004166666667</v>
      </c>
      <c r="M53" s="1">
        <f t="shared" si="7"/>
        <v>0.003166666667</v>
      </c>
      <c r="N53" s="1">
        <f t="shared" si="7"/>
        <v>0.003166666667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0"/>
      <c r="D54" s="20"/>
      <c r="E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0"/>
      <c r="D55" s="20"/>
      <c r="E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0"/>
      <c r="D56" s="20"/>
      <c r="E56" s="20"/>
      <c r="F56" s="1">
        <f t="shared" ref="F56:F62" si="8">F47/$F$47</f>
        <v>1</v>
      </c>
      <c r="G56" s="1">
        <f t="shared" ref="G56:G62" si="9">G47/$G$47</f>
        <v>1</v>
      </c>
      <c r="H56" s="1">
        <f t="shared" ref="H56:H62" si="10">H47/$H$47</f>
        <v>1</v>
      </c>
      <c r="I56" s="1">
        <f t="shared" ref="I56:I62" si="11">I47/$I$47</f>
        <v>1</v>
      </c>
      <c r="J56" s="1">
        <f t="shared" ref="J56:J62" si="12">J47/$J$47</f>
        <v>1</v>
      </c>
      <c r="K56" s="1">
        <f t="shared" ref="K56:K62" si="13">K47/$K$47</f>
        <v>1</v>
      </c>
      <c r="L56" s="1">
        <f t="shared" ref="L56:L62" si="14">L47/$L$47</f>
        <v>1</v>
      </c>
      <c r="M56" s="1">
        <f t="shared" ref="M56:M62" si="15">M47/$M$47</f>
        <v>1</v>
      </c>
      <c r="N56" s="1">
        <f t="shared" ref="N56:N62" si="16">N47/$N$47</f>
        <v>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0"/>
      <c r="D57" s="20"/>
      <c r="E57" s="20"/>
      <c r="F57" s="1">
        <f t="shared" si="8"/>
        <v>0.9940954568</v>
      </c>
      <c r="G57" s="1">
        <f t="shared" si="9"/>
        <v>1.005014207</v>
      </c>
      <c r="H57" s="1">
        <f t="shared" si="10"/>
        <v>0.997059304</v>
      </c>
      <c r="I57" s="1">
        <f t="shared" si="11"/>
        <v>0.9663838643</v>
      </c>
      <c r="J57" s="1">
        <f t="shared" si="12"/>
        <v>0.9504840502</v>
      </c>
      <c r="K57" s="1">
        <f t="shared" si="13"/>
        <v>0.9226587979</v>
      </c>
      <c r="L57" s="1">
        <f t="shared" si="14"/>
        <v>0.9719309566</v>
      </c>
      <c r="M57" s="1">
        <f t="shared" si="15"/>
        <v>1.00498919</v>
      </c>
      <c r="N57" s="1">
        <f t="shared" si="16"/>
        <v>1.010160881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0"/>
      <c r="D58" s="20"/>
      <c r="E58" s="20"/>
      <c r="F58" s="1">
        <f t="shared" si="8"/>
        <v>1.000984091</v>
      </c>
      <c r="G58" s="1">
        <f t="shared" si="9"/>
        <v>1</v>
      </c>
      <c r="H58" s="1">
        <f t="shared" si="10"/>
        <v>0.9764744323</v>
      </c>
      <c r="I58" s="1">
        <f t="shared" si="11"/>
        <v>0.9375700336</v>
      </c>
      <c r="J58" s="1">
        <f t="shared" si="12"/>
        <v>0.9047770195</v>
      </c>
      <c r="K58" s="1">
        <f t="shared" si="13"/>
        <v>0.8732722472</v>
      </c>
      <c r="L58" s="1">
        <f t="shared" si="14"/>
        <v>0.9728988547</v>
      </c>
      <c r="M58" s="1">
        <f t="shared" si="15"/>
        <v>0.9760518876</v>
      </c>
      <c r="N58" s="1">
        <f t="shared" si="16"/>
        <v>0.9796782388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0"/>
      <c r="D59" s="20"/>
      <c r="E59" s="20"/>
      <c r="F59" s="1">
        <f t="shared" si="8"/>
        <v>0.03460718386</v>
      </c>
      <c r="G59" s="1">
        <f t="shared" si="9"/>
        <v>0.01420691961</v>
      </c>
      <c r="H59" s="1">
        <f t="shared" si="10"/>
        <v>0.01388661983</v>
      </c>
      <c r="I59" s="1">
        <f t="shared" si="11"/>
        <v>0.01360653113</v>
      </c>
      <c r="J59" s="1">
        <f t="shared" si="12"/>
        <v>0.01253769243</v>
      </c>
      <c r="K59" s="1">
        <f t="shared" si="13"/>
        <v>0.01599627271</v>
      </c>
      <c r="L59" s="1">
        <f t="shared" si="14"/>
        <v>0.01274399097</v>
      </c>
      <c r="M59" s="1">
        <f t="shared" si="15"/>
        <v>0.01114252453</v>
      </c>
      <c r="N59" s="1">
        <f t="shared" si="16"/>
        <v>0.005249788315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0"/>
      <c r="D60" s="20"/>
      <c r="E60" s="20"/>
      <c r="F60" s="1">
        <f t="shared" si="8"/>
        <v>0.01984582582</v>
      </c>
      <c r="G60" s="1">
        <f t="shared" si="9"/>
        <v>0.01320407822</v>
      </c>
      <c r="H60" s="1">
        <f t="shared" si="10"/>
        <v>0.01486685182</v>
      </c>
      <c r="I60" s="1">
        <f t="shared" si="11"/>
        <v>0.01168560909</v>
      </c>
      <c r="J60" s="1">
        <f t="shared" si="12"/>
        <v>0.01253769243</v>
      </c>
      <c r="K60" s="1">
        <f t="shared" si="13"/>
        <v>0.01040534244</v>
      </c>
      <c r="L60" s="1">
        <f t="shared" si="14"/>
        <v>0.01467978706</v>
      </c>
      <c r="M60" s="1">
        <f t="shared" si="15"/>
        <v>0.0151338766</v>
      </c>
      <c r="N60" s="1">
        <f t="shared" si="16"/>
        <v>0.007281964437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0"/>
      <c r="D61" s="20"/>
      <c r="E61" s="20"/>
      <c r="F61" s="1">
        <f t="shared" si="8"/>
        <v>0.01197310153</v>
      </c>
      <c r="G61" s="1">
        <f t="shared" si="9"/>
        <v>0.007187029918</v>
      </c>
      <c r="H61" s="1">
        <f t="shared" si="10"/>
        <v>0.00996569188</v>
      </c>
      <c r="I61" s="1">
        <f t="shared" si="11"/>
        <v>0.008804226028</v>
      </c>
      <c r="J61" s="1">
        <f t="shared" si="12"/>
        <v>0.008728773211</v>
      </c>
      <c r="K61" s="1">
        <f t="shared" si="13"/>
        <v>0.00760987731</v>
      </c>
      <c r="L61" s="1">
        <f t="shared" si="14"/>
        <v>0.008872398774</v>
      </c>
      <c r="M61" s="1">
        <f t="shared" si="15"/>
        <v>0.009146848495</v>
      </c>
      <c r="N61" s="1">
        <f t="shared" si="16"/>
        <v>0.005249788315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0"/>
      <c r="D62" s="20"/>
      <c r="E62" s="20"/>
      <c r="F62" s="1">
        <f t="shared" si="8"/>
        <v>0.005084467771</v>
      </c>
      <c r="G62" s="1">
        <f t="shared" si="9"/>
        <v>0.002172822998</v>
      </c>
      <c r="H62" s="1">
        <f t="shared" si="10"/>
        <v>0.008005227904</v>
      </c>
      <c r="I62" s="1">
        <f t="shared" si="11"/>
        <v>0.001120537858</v>
      </c>
      <c r="J62" s="1">
        <f t="shared" si="12"/>
        <v>0.003967624187</v>
      </c>
      <c r="K62" s="1">
        <f t="shared" si="13"/>
        <v>0.00108712533</v>
      </c>
      <c r="L62" s="1">
        <f t="shared" si="14"/>
        <v>0.004032908534</v>
      </c>
      <c r="M62" s="1">
        <f t="shared" si="15"/>
        <v>0.003159820389</v>
      </c>
      <c r="N62" s="1">
        <f t="shared" si="16"/>
        <v>0.003217612193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0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2</v>
      </c>
      <c r="B4" s="20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4</v>
      </c>
      <c r="B5" s="20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6</v>
      </c>
      <c r="B6" s="20" t="s">
        <v>165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8</v>
      </c>
      <c r="B7" s="2">
        <v>45967.0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</v>
      </c>
      <c r="B8" s="3">
        <v>0.672662037037037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10</v>
      </c>
      <c r="B9" s="20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12</v>
      </c>
      <c r="B10" s="20">
        <v>1803065.0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13</v>
      </c>
      <c r="B11" s="20" t="s">
        <v>14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4" t="s">
        <v>15</v>
      </c>
      <c r="B13" s="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 t="s">
        <v>16</v>
      </c>
      <c r="B14" s="20" t="s">
        <v>17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 t="s">
        <v>18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 t="s">
        <v>19</v>
      </c>
      <c r="B16" s="20" t="s">
        <v>20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 t="s">
        <v>21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 t="s">
        <v>22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4" t="s">
        <v>24</v>
      </c>
      <c r="B21" s="5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4" t="s">
        <v>130</v>
      </c>
      <c r="B33" s="5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 t="s">
        <v>131</v>
      </c>
      <c r="B34" s="20">
        <v>28.7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7" t="s">
        <v>25</v>
      </c>
      <c r="C37" s="10">
        <v>0.101</v>
      </c>
      <c r="D37" s="10">
        <v>0.1</v>
      </c>
      <c r="E37" s="10">
        <v>0.101</v>
      </c>
      <c r="F37" s="10">
        <v>0.099</v>
      </c>
      <c r="G37" s="10">
        <v>0.101</v>
      </c>
      <c r="H37" s="10">
        <v>0.1</v>
      </c>
      <c r="I37" s="10">
        <v>0.103</v>
      </c>
      <c r="J37" s="10">
        <v>0.102</v>
      </c>
      <c r="K37" s="10">
        <v>0.1</v>
      </c>
      <c r="L37" s="10">
        <v>0.101</v>
      </c>
      <c r="M37" s="10">
        <v>0.1</v>
      </c>
      <c r="N37" s="10">
        <v>0.1</v>
      </c>
      <c r="O37" s="9">
        <v>600.0</v>
      </c>
      <c r="P37" s="20">
        <f>average(C37:N37)</f>
        <v>0.1006666667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7" t="s">
        <v>39</v>
      </c>
      <c r="C38" s="10">
        <v>0.102</v>
      </c>
      <c r="D38" s="10">
        <v>0.101</v>
      </c>
      <c r="E38" s="10">
        <v>0.107</v>
      </c>
      <c r="F38" s="11">
        <v>1.15</v>
      </c>
      <c r="G38" s="11">
        <v>1.133</v>
      </c>
      <c r="H38" s="11">
        <v>1.13</v>
      </c>
      <c r="I38" s="11">
        <v>1.176</v>
      </c>
      <c r="J38" s="11">
        <v>1.161</v>
      </c>
      <c r="K38" s="11">
        <v>1.137</v>
      </c>
      <c r="L38" s="12">
        <v>1.096</v>
      </c>
      <c r="M38" s="12">
        <v>1.087</v>
      </c>
      <c r="N38" s="12">
        <v>1.081</v>
      </c>
      <c r="O38" s="9">
        <v>600.0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7" t="s">
        <v>52</v>
      </c>
      <c r="C39" s="10">
        <v>0.102</v>
      </c>
      <c r="D39" s="10">
        <v>0.11</v>
      </c>
      <c r="E39" s="10">
        <v>0.116</v>
      </c>
      <c r="F39" s="11">
        <v>1.157</v>
      </c>
      <c r="G39" s="11">
        <v>1.141</v>
      </c>
      <c r="H39" s="11">
        <v>1.147</v>
      </c>
      <c r="I39" s="11">
        <v>1.151</v>
      </c>
      <c r="J39" s="11">
        <v>1.159</v>
      </c>
      <c r="K39" s="11">
        <v>1.159</v>
      </c>
      <c r="L39" s="11">
        <v>1.166</v>
      </c>
      <c r="M39" s="11">
        <v>1.152</v>
      </c>
      <c r="N39" s="11">
        <v>1.103</v>
      </c>
      <c r="O39" s="9">
        <v>600.0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7" t="s">
        <v>65</v>
      </c>
      <c r="C40" s="10">
        <v>0.104</v>
      </c>
      <c r="D40" s="10">
        <v>0.108</v>
      </c>
      <c r="E40" s="10">
        <v>0.114</v>
      </c>
      <c r="F40" s="11">
        <v>1.118</v>
      </c>
      <c r="G40" s="11">
        <v>1.111</v>
      </c>
      <c r="H40" s="11">
        <v>1.111</v>
      </c>
      <c r="I40" s="12">
        <v>1.099</v>
      </c>
      <c r="J40" s="12">
        <v>1.066</v>
      </c>
      <c r="K40" s="12">
        <v>1.057</v>
      </c>
      <c r="L40" s="11">
        <v>1.111</v>
      </c>
      <c r="M40" s="12">
        <v>1.086</v>
      </c>
      <c r="N40" s="12">
        <v>1.066</v>
      </c>
      <c r="O40" s="9">
        <v>600.0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7" t="s">
        <v>78</v>
      </c>
      <c r="C41" s="10">
        <v>0.1</v>
      </c>
      <c r="D41" s="10">
        <v>0.107</v>
      </c>
      <c r="E41" s="10">
        <v>0.112</v>
      </c>
      <c r="F41" s="10">
        <v>0.133</v>
      </c>
      <c r="G41" s="10">
        <v>0.126</v>
      </c>
      <c r="H41" s="10">
        <v>0.129</v>
      </c>
      <c r="I41" s="10">
        <v>0.125</v>
      </c>
      <c r="J41" s="10">
        <v>0.121</v>
      </c>
      <c r="K41" s="10">
        <v>0.126</v>
      </c>
      <c r="L41" s="10">
        <v>0.13</v>
      </c>
      <c r="M41" s="10">
        <v>0.129</v>
      </c>
      <c r="N41" s="10">
        <v>0.107</v>
      </c>
      <c r="O41" s="9">
        <v>600.0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7" t="s">
        <v>91</v>
      </c>
      <c r="C42" s="10">
        <v>0.102</v>
      </c>
      <c r="D42" s="10">
        <v>0.1</v>
      </c>
      <c r="E42" s="10">
        <v>0.108</v>
      </c>
      <c r="F42" s="10">
        <v>0.118</v>
      </c>
      <c r="G42" s="10">
        <v>0.12</v>
      </c>
      <c r="H42" s="10">
        <v>0.118</v>
      </c>
      <c r="I42" s="10">
        <v>0.116</v>
      </c>
      <c r="J42" s="10">
        <v>0.116</v>
      </c>
      <c r="K42" s="10">
        <v>0.117</v>
      </c>
      <c r="L42" s="10">
        <v>0.118</v>
      </c>
      <c r="M42" s="10">
        <v>0.115</v>
      </c>
      <c r="N42" s="10">
        <v>0.103</v>
      </c>
      <c r="O42" s="9">
        <v>600.0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7" t="s">
        <v>104</v>
      </c>
      <c r="C43" s="10">
        <v>0.101</v>
      </c>
      <c r="D43" s="10">
        <v>0.102</v>
      </c>
      <c r="E43" s="10">
        <v>0.104</v>
      </c>
      <c r="F43" s="10">
        <v>0.114</v>
      </c>
      <c r="G43" s="10">
        <v>0.112</v>
      </c>
      <c r="H43" s="10">
        <v>0.105</v>
      </c>
      <c r="I43" s="10">
        <v>0.102</v>
      </c>
      <c r="J43" s="10">
        <v>0.103</v>
      </c>
      <c r="K43" s="10">
        <v>0.108</v>
      </c>
      <c r="L43" s="10">
        <v>0.106</v>
      </c>
      <c r="M43" s="10">
        <v>0.104</v>
      </c>
      <c r="N43" s="10">
        <v>0.103</v>
      </c>
      <c r="O43" s="9">
        <v>600.0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7" t="s">
        <v>117</v>
      </c>
      <c r="C44" s="10">
        <v>0.101</v>
      </c>
      <c r="D44" s="10">
        <v>0.106</v>
      </c>
      <c r="E44" s="10">
        <v>0.102</v>
      </c>
      <c r="F44" s="10">
        <v>0.106</v>
      </c>
      <c r="G44" s="10">
        <v>0.107</v>
      </c>
      <c r="H44" s="10">
        <v>0.105</v>
      </c>
      <c r="I44" s="10">
        <v>0.103</v>
      </c>
      <c r="J44" s="10">
        <v>0.102</v>
      </c>
      <c r="K44" s="10">
        <v>0.106</v>
      </c>
      <c r="L44" s="10">
        <v>0.103</v>
      </c>
      <c r="M44" s="10">
        <v>0.104</v>
      </c>
      <c r="N44" s="10">
        <v>0.105</v>
      </c>
      <c r="O44" s="9">
        <v>600.0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0"/>
      <c r="D47" s="20"/>
      <c r="E47" s="20"/>
      <c r="F47" s="1">
        <f t="shared" ref="F47:N47" si="1">F38-$P$37</f>
        <v>1.049333333</v>
      </c>
      <c r="G47" s="1">
        <f t="shared" si="1"/>
        <v>1.032333333</v>
      </c>
      <c r="H47" s="1">
        <f t="shared" si="1"/>
        <v>1.029333333</v>
      </c>
      <c r="I47" s="1">
        <f t="shared" si="1"/>
        <v>1.075333333</v>
      </c>
      <c r="J47" s="1">
        <f t="shared" si="1"/>
        <v>1.060333333</v>
      </c>
      <c r="K47" s="1">
        <f t="shared" si="1"/>
        <v>1.036333333</v>
      </c>
      <c r="L47" s="1">
        <f t="shared" si="1"/>
        <v>0.9953333333</v>
      </c>
      <c r="M47" s="1">
        <f t="shared" si="1"/>
        <v>0.9863333333</v>
      </c>
      <c r="N47" s="1">
        <f t="shared" si="1"/>
        <v>0.9803333333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0"/>
      <c r="D48" s="20"/>
      <c r="E48" s="20"/>
      <c r="F48" s="1">
        <f t="shared" ref="F48:N48" si="2">F39-$P$37</f>
        <v>1.056333333</v>
      </c>
      <c r="G48" s="1">
        <f t="shared" si="2"/>
        <v>1.040333333</v>
      </c>
      <c r="H48" s="1">
        <f t="shared" si="2"/>
        <v>1.046333333</v>
      </c>
      <c r="I48" s="1">
        <f t="shared" si="2"/>
        <v>1.050333333</v>
      </c>
      <c r="J48" s="1">
        <f t="shared" si="2"/>
        <v>1.058333333</v>
      </c>
      <c r="K48" s="1">
        <f t="shared" si="2"/>
        <v>1.058333333</v>
      </c>
      <c r="L48" s="1">
        <f t="shared" si="2"/>
        <v>1.065333333</v>
      </c>
      <c r="M48" s="1">
        <f t="shared" si="2"/>
        <v>1.051333333</v>
      </c>
      <c r="N48" s="1">
        <f t="shared" si="2"/>
        <v>1.002333333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0"/>
      <c r="D49" s="20"/>
      <c r="E49" s="20"/>
      <c r="F49" s="1">
        <f t="shared" ref="F49:N49" si="3">F40-$P$37</f>
        <v>1.017333333</v>
      </c>
      <c r="G49" s="1">
        <f t="shared" si="3"/>
        <v>1.010333333</v>
      </c>
      <c r="H49" s="1">
        <f t="shared" si="3"/>
        <v>1.010333333</v>
      </c>
      <c r="I49" s="1">
        <f t="shared" si="3"/>
        <v>0.9983333333</v>
      </c>
      <c r="J49" s="1">
        <f t="shared" si="3"/>
        <v>0.9653333333</v>
      </c>
      <c r="K49" s="1">
        <f t="shared" si="3"/>
        <v>0.9563333333</v>
      </c>
      <c r="L49" s="1">
        <f t="shared" si="3"/>
        <v>1.010333333</v>
      </c>
      <c r="M49" s="1">
        <f t="shared" si="3"/>
        <v>0.9853333333</v>
      </c>
      <c r="N49" s="1">
        <f t="shared" si="3"/>
        <v>0.9653333333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0"/>
      <c r="D50" s="20"/>
      <c r="E50" s="20"/>
      <c r="F50" s="1">
        <f t="shared" ref="F50:N50" si="4">F41-$P$37</f>
        <v>0.03233333333</v>
      </c>
      <c r="G50" s="1">
        <f t="shared" si="4"/>
        <v>0.02533333333</v>
      </c>
      <c r="H50" s="1">
        <f t="shared" si="4"/>
        <v>0.02833333333</v>
      </c>
      <c r="I50" s="1">
        <f t="shared" si="4"/>
        <v>0.02433333333</v>
      </c>
      <c r="J50" s="1">
        <f t="shared" si="4"/>
        <v>0.02033333333</v>
      </c>
      <c r="K50" s="1">
        <f t="shared" si="4"/>
        <v>0.02533333333</v>
      </c>
      <c r="L50" s="1">
        <f t="shared" si="4"/>
        <v>0.02933333333</v>
      </c>
      <c r="M50" s="1">
        <f t="shared" si="4"/>
        <v>0.02833333333</v>
      </c>
      <c r="N50" s="1">
        <f t="shared" si="4"/>
        <v>0.006333333333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0"/>
      <c r="D51" s="20"/>
      <c r="E51" s="20"/>
      <c r="F51" s="1">
        <f t="shared" ref="F51:N51" si="5">F42-$P$37</f>
        <v>0.01733333333</v>
      </c>
      <c r="G51" s="1">
        <f t="shared" si="5"/>
        <v>0.01933333333</v>
      </c>
      <c r="H51" s="1">
        <f t="shared" si="5"/>
        <v>0.01733333333</v>
      </c>
      <c r="I51" s="1">
        <f t="shared" si="5"/>
        <v>0.01533333333</v>
      </c>
      <c r="J51" s="1">
        <f t="shared" si="5"/>
        <v>0.01533333333</v>
      </c>
      <c r="K51" s="1">
        <f t="shared" si="5"/>
        <v>0.01633333333</v>
      </c>
      <c r="L51" s="1">
        <f t="shared" si="5"/>
        <v>0.01733333333</v>
      </c>
      <c r="M51" s="1">
        <f t="shared" si="5"/>
        <v>0.01433333333</v>
      </c>
      <c r="N51" s="1">
        <f t="shared" si="5"/>
        <v>0.002333333333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0"/>
      <c r="D52" s="20"/>
      <c r="E52" s="20"/>
      <c r="F52" s="1">
        <f t="shared" ref="F52:N52" si="6">F43-$P$37</f>
        <v>0.01333333333</v>
      </c>
      <c r="G52" s="1">
        <f t="shared" si="6"/>
        <v>0.01133333333</v>
      </c>
      <c r="H52" s="1">
        <f t="shared" si="6"/>
        <v>0.004333333333</v>
      </c>
      <c r="I52" s="1">
        <f t="shared" si="6"/>
        <v>0.001333333333</v>
      </c>
      <c r="J52" s="1">
        <f t="shared" si="6"/>
        <v>0.002333333333</v>
      </c>
      <c r="K52" s="1">
        <f t="shared" si="6"/>
        <v>0.007333333333</v>
      </c>
      <c r="L52" s="1">
        <f t="shared" si="6"/>
        <v>0.005333333333</v>
      </c>
      <c r="M52" s="1">
        <f t="shared" si="6"/>
        <v>0.003333333333</v>
      </c>
      <c r="N52" s="1">
        <f t="shared" si="6"/>
        <v>0.002333333333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0"/>
      <c r="D53" s="20"/>
      <c r="E53" s="20"/>
      <c r="F53" s="1">
        <f t="shared" ref="F53:N53" si="7">F44-$P$37</f>
        <v>0.005333333333</v>
      </c>
      <c r="G53" s="1">
        <f t="shared" si="7"/>
        <v>0.006333333333</v>
      </c>
      <c r="H53" s="1">
        <f t="shared" si="7"/>
        <v>0.004333333333</v>
      </c>
      <c r="I53" s="1">
        <f t="shared" si="7"/>
        <v>0.002333333333</v>
      </c>
      <c r="J53" s="1">
        <f t="shared" si="7"/>
        <v>0.001333333333</v>
      </c>
      <c r="K53" s="1">
        <f t="shared" si="7"/>
        <v>0.005333333333</v>
      </c>
      <c r="L53" s="1">
        <f t="shared" si="7"/>
        <v>0.002333333333</v>
      </c>
      <c r="M53" s="1">
        <f t="shared" si="7"/>
        <v>0.003333333333</v>
      </c>
      <c r="N53" s="1">
        <f t="shared" si="7"/>
        <v>0.004333333333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0"/>
      <c r="D54" s="20"/>
      <c r="E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0"/>
      <c r="D55" s="20"/>
      <c r="E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0"/>
      <c r="D56" s="20"/>
      <c r="E56" s="20"/>
      <c r="F56" s="1">
        <f t="shared" ref="F56:F62" si="8">F47/$F$47</f>
        <v>1</v>
      </c>
      <c r="G56" s="1">
        <f t="shared" ref="G56:G62" si="9">G47/$G$47</f>
        <v>1</v>
      </c>
      <c r="H56" s="1">
        <f t="shared" ref="H56:H62" si="10">H47/$H$47</f>
        <v>1</v>
      </c>
      <c r="I56" s="1">
        <f t="shared" ref="I56:I62" si="11">I47/$I$47</f>
        <v>1</v>
      </c>
      <c r="J56" s="1">
        <f t="shared" ref="J56:J62" si="12">J47/$J$47</f>
        <v>1</v>
      </c>
      <c r="K56" s="1">
        <f t="shared" ref="K56:K62" si="13">K47/$K$47</f>
        <v>1</v>
      </c>
      <c r="L56" s="1">
        <f t="shared" ref="L56:L62" si="14">L47/$L$47</f>
        <v>1</v>
      </c>
      <c r="M56" s="1">
        <f t="shared" ref="M56:M62" si="15">M47/$M$47</f>
        <v>1</v>
      </c>
      <c r="N56" s="1">
        <f t="shared" ref="N56:N62" si="16">N47/$N$47</f>
        <v>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0"/>
      <c r="D57" s="20"/>
      <c r="E57" s="20"/>
      <c r="F57" s="1">
        <f t="shared" si="8"/>
        <v>1.006670902</v>
      </c>
      <c r="G57" s="1">
        <f t="shared" si="9"/>
        <v>1.007749435</v>
      </c>
      <c r="H57" s="1">
        <f t="shared" si="10"/>
        <v>1.016515544</v>
      </c>
      <c r="I57" s="1">
        <f t="shared" si="11"/>
        <v>0.9767513949</v>
      </c>
      <c r="J57" s="1">
        <f t="shared" si="12"/>
        <v>0.9981138007</v>
      </c>
      <c r="K57" s="1">
        <f t="shared" si="13"/>
        <v>1.021228691</v>
      </c>
      <c r="L57" s="1">
        <f t="shared" si="14"/>
        <v>1.070328198</v>
      </c>
      <c r="M57" s="1">
        <f t="shared" si="15"/>
        <v>1.065900642</v>
      </c>
      <c r="N57" s="1">
        <f t="shared" si="16"/>
        <v>1.022441346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0"/>
      <c r="D58" s="20"/>
      <c r="E58" s="20"/>
      <c r="F58" s="1">
        <f t="shared" si="8"/>
        <v>0.9695044473</v>
      </c>
      <c r="G58" s="1">
        <f t="shared" si="9"/>
        <v>0.9786890539</v>
      </c>
      <c r="H58" s="1">
        <f t="shared" si="10"/>
        <v>0.9815414508</v>
      </c>
      <c r="I58" s="1">
        <f t="shared" si="11"/>
        <v>0.9283942963</v>
      </c>
      <c r="J58" s="1">
        <f t="shared" si="12"/>
        <v>0.9104055329</v>
      </c>
      <c r="K58" s="1">
        <f t="shared" si="13"/>
        <v>0.9228047604</v>
      </c>
      <c r="L58" s="1">
        <f t="shared" si="14"/>
        <v>1.015070328</v>
      </c>
      <c r="M58" s="1">
        <f t="shared" si="15"/>
        <v>0.998986144</v>
      </c>
      <c r="N58" s="1">
        <f t="shared" si="16"/>
        <v>0.9846990819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0"/>
      <c r="D59" s="20"/>
      <c r="E59" s="20"/>
      <c r="F59" s="1">
        <f t="shared" si="8"/>
        <v>0.03081321474</v>
      </c>
      <c r="G59" s="1">
        <f t="shared" si="9"/>
        <v>0.0245398773</v>
      </c>
      <c r="H59" s="1">
        <f t="shared" si="10"/>
        <v>0.02752590674</v>
      </c>
      <c r="I59" s="1">
        <f t="shared" si="11"/>
        <v>0.02262864228</v>
      </c>
      <c r="J59" s="1">
        <f t="shared" si="12"/>
        <v>0.01917635964</v>
      </c>
      <c r="K59" s="1">
        <f t="shared" si="13"/>
        <v>0.02444515922</v>
      </c>
      <c r="L59" s="1">
        <f t="shared" si="14"/>
        <v>0.02947086403</v>
      </c>
      <c r="M59" s="1">
        <f t="shared" si="15"/>
        <v>0.02872592092</v>
      </c>
      <c r="N59" s="1">
        <f t="shared" si="16"/>
        <v>0.006460387623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0"/>
      <c r="D60" s="20"/>
      <c r="E60" s="20"/>
      <c r="F60" s="1">
        <f t="shared" si="8"/>
        <v>0.0165184244</v>
      </c>
      <c r="G60" s="1">
        <f t="shared" si="9"/>
        <v>0.0187278011</v>
      </c>
      <c r="H60" s="1">
        <f t="shared" si="10"/>
        <v>0.01683937824</v>
      </c>
      <c r="I60" s="1">
        <f t="shared" si="11"/>
        <v>0.01425914445</v>
      </c>
      <c r="J60" s="1">
        <f t="shared" si="12"/>
        <v>0.01446086136</v>
      </c>
      <c r="K60" s="1">
        <f t="shared" si="13"/>
        <v>0.01576069476</v>
      </c>
      <c r="L60" s="1">
        <f t="shared" si="14"/>
        <v>0.01741460147</v>
      </c>
      <c r="M60" s="1">
        <f t="shared" si="15"/>
        <v>0.01453193647</v>
      </c>
      <c r="N60" s="1">
        <f t="shared" si="16"/>
        <v>0.002380142809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0"/>
      <c r="D61" s="20"/>
      <c r="E61" s="20"/>
      <c r="F61" s="1">
        <f t="shared" si="8"/>
        <v>0.0127064803</v>
      </c>
      <c r="G61" s="1">
        <f t="shared" si="9"/>
        <v>0.01097836616</v>
      </c>
      <c r="H61" s="1">
        <f t="shared" si="10"/>
        <v>0.00420984456</v>
      </c>
      <c r="I61" s="1">
        <f t="shared" si="11"/>
        <v>0.001239925604</v>
      </c>
      <c r="J61" s="1">
        <f t="shared" si="12"/>
        <v>0.00220056586</v>
      </c>
      <c r="K61" s="1">
        <f t="shared" si="13"/>
        <v>0.007076230299</v>
      </c>
      <c r="L61" s="1">
        <f t="shared" si="14"/>
        <v>0.005358338915</v>
      </c>
      <c r="M61" s="1">
        <f t="shared" si="15"/>
        <v>0.003379520108</v>
      </c>
      <c r="N61" s="1">
        <f t="shared" si="16"/>
        <v>0.002380142809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0"/>
      <c r="D62" s="20"/>
      <c r="E62" s="20"/>
      <c r="F62" s="1">
        <f t="shared" si="8"/>
        <v>0.005082592122</v>
      </c>
      <c r="G62" s="1">
        <f t="shared" si="9"/>
        <v>0.006134969325</v>
      </c>
      <c r="H62" s="1">
        <f t="shared" si="10"/>
        <v>0.00420984456</v>
      </c>
      <c r="I62" s="1">
        <f t="shared" si="11"/>
        <v>0.002169869808</v>
      </c>
      <c r="J62" s="1">
        <f t="shared" si="12"/>
        <v>0.001257466206</v>
      </c>
      <c r="K62" s="1">
        <f t="shared" si="13"/>
        <v>0.005146349308</v>
      </c>
      <c r="L62" s="1">
        <f t="shared" si="14"/>
        <v>0.002344273275</v>
      </c>
      <c r="M62" s="1">
        <f t="shared" si="15"/>
        <v>0.003379520108</v>
      </c>
      <c r="N62" s="1">
        <f t="shared" si="16"/>
        <v>0.004420265216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Windows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