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XBSx+im4bYCgvardIpK8wtr7p0Apywx8oElSQa9tYrM="/>
    </ext>
  </extLst>
</workbook>
</file>

<file path=xl/sharedStrings.xml><?xml version="1.0" encoding="utf-8"?>
<sst xmlns="http://schemas.openxmlformats.org/spreadsheetml/2006/main" count="43" uniqueCount="16">
  <si>
    <t>A</t>
  </si>
  <si>
    <t>B</t>
  </si>
  <si>
    <t>C</t>
  </si>
  <si>
    <t>D</t>
  </si>
  <si>
    <t>E</t>
  </si>
  <si>
    <t>F</t>
  </si>
  <si>
    <t>G</t>
  </si>
  <si>
    <t>H</t>
  </si>
  <si>
    <t>C41</t>
  </si>
  <si>
    <t>C44</t>
  </si>
  <si>
    <t>C33</t>
  </si>
  <si>
    <t>C34</t>
  </si>
  <si>
    <t>C42</t>
  </si>
  <si>
    <t>SDS</t>
  </si>
  <si>
    <t>no drug</t>
  </si>
  <si>
    <t>2868: 41,42 2875: 33,34 2876: 41,42 5192: 41,42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</si>
</sst>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%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27413E"/>
      <name val="Arial"/>
    </font>
    <font>
      <sz val="10.0"/>
      <color rgb="FF000000"/>
      <name val="Arial"/>
    </font>
    <font>
      <sz val="7.0"/>
      <color rgb="FF000000"/>
      <name val="Arial"/>
    </font>
    <font>
      <color theme="1"/>
      <name val="Calibri"/>
      <scheme val="minor"/>
    </font>
    <font>
      <color rgb="FF27413E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428EC7"/>
        <bgColor rgb="FF428EC7"/>
      </patternFill>
    </fill>
    <fill>
      <patternFill patternType="solid">
        <fgColor rgb="FF5197CC"/>
        <bgColor rgb="FF5197CC"/>
      </patternFill>
    </fill>
    <fill>
      <patternFill patternType="solid">
        <fgColor rgb="FF6FA9D6"/>
        <bgColor rgb="FF6FA9D6"/>
      </patternFill>
    </fill>
    <fill>
      <patternFill patternType="solid">
        <fgColor rgb="FF9CC5E5"/>
        <bgColor rgb="FF9CC5E5"/>
      </patternFill>
    </fill>
    <fill>
      <patternFill patternType="solid">
        <fgColor rgb="FF60A0D1"/>
        <bgColor rgb="FF60A0D1"/>
      </patternFill>
    </fill>
    <fill>
      <patternFill patternType="solid">
        <fgColor rgb="FFBAD7EF"/>
        <bgColor rgb="FFBAD7EF"/>
      </patternFill>
    </fill>
    <fill>
      <patternFill patternType="solid">
        <fgColor rgb="FF8DBCE0"/>
        <bgColor rgb="FF8DBCE0"/>
      </patternFill>
    </fill>
    <fill>
      <patternFill patternType="solid">
        <fgColor rgb="FFD8E9F9"/>
        <bgColor rgb="FFD8E9F9"/>
      </patternFill>
    </fill>
    <fill>
      <patternFill patternType="solid">
        <fgColor rgb="FFC9E0F4"/>
        <bgColor rgb="FFC9E0F4"/>
      </patternFill>
    </fill>
    <fill>
      <patternFill patternType="solid">
        <fgColor rgb="FFABCEEA"/>
        <bgColor rgb="FFABCEEA"/>
      </patternFill>
    </fill>
    <fill>
      <patternFill patternType="solid">
        <fgColor rgb="FF7EB2DB"/>
        <bgColor rgb="FF7EB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readingOrder="0"/>
    </xf>
    <xf borderId="1" fillId="0" fontId="6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1" fillId="0" fontId="6" numFmtId="164" xfId="0" applyAlignment="1" applyBorder="1" applyFont="1" applyNumberFormat="1">
      <alignment horizontal="center" readingOrder="0" shrinkToFit="0" wrapText="1"/>
    </xf>
    <xf borderId="1" fillId="15" fontId="3" numFmtId="0" xfId="0" applyAlignment="1" applyBorder="1" applyFill="1" applyFont="1">
      <alignment horizontal="center" shrinkToFit="0" vertical="center" wrapText="1"/>
    </xf>
    <xf borderId="1" fillId="16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  <col customWidth="1" min="16" max="16" width="14.86"/>
    <col customWidth="1" min="17" max="29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0.102</v>
      </c>
      <c r="D4" s="3">
        <v>0.132</v>
      </c>
      <c r="E4" s="3">
        <v>0.16</v>
      </c>
      <c r="F4" s="3">
        <v>0.135</v>
      </c>
      <c r="G4" s="3">
        <v>0.148</v>
      </c>
      <c r="H4" s="3">
        <v>0.127</v>
      </c>
      <c r="I4" s="3">
        <v>0.131</v>
      </c>
      <c r="J4" s="3">
        <v>0.146</v>
      </c>
      <c r="K4" s="3">
        <v>0.115</v>
      </c>
      <c r="L4" s="3">
        <v>0.118</v>
      </c>
      <c r="M4" s="3">
        <v>0.1</v>
      </c>
      <c r="N4" s="3">
        <v>0.102</v>
      </c>
      <c r="O4" s="4">
        <v>600.0</v>
      </c>
      <c r="P4" s="5">
        <f>average(C4:N4)</f>
        <v>0.1263333333</v>
      </c>
    </row>
    <row r="5">
      <c r="B5" s="2" t="s">
        <v>1</v>
      </c>
      <c r="C5" s="6">
        <v>1.368</v>
      </c>
      <c r="D5" s="6">
        <v>1.381</v>
      </c>
      <c r="E5" s="7">
        <v>1.429</v>
      </c>
      <c r="F5" s="7">
        <v>1.476</v>
      </c>
      <c r="G5" s="7">
        <v>1.452</v>
      </c>
      <c r="H5" s="7">
        <v>1.46</v>
      </c>
      <c r="I5" s="7">
        <v>1.519</v>
      </c>
      <c r="J5" s="7">
        <v>1.468</v>
      </c>
      <c r="K5" s="7">
        <v>1.467</v>
      </c>
      <c r="L5" s="7">
        <v>1.49</v>
      </c>
      <c r="M5" s="7">
        <v>1.428</v>
      </c>
      <c r="N5" s="6">
        <v>1.341</v>
      </c>
      <c r="O5" s="4">
        <v>600.0</v>
      </c>
    </row>
    <row r="6">
      <c r="B6" s="2" t="s">
        <v>2</v>
      </c>
      <c r="C6" s="8">
        <v>1.307</v>
      </c>
      <c r="D6" s="8">
        <v>1.282</v>
      </c>
      <c r="E6" s="6">
        <v>1.345</v>
      </c>
      <c r="F6" s="6">
        <v>1.41</v>
      </c>
      <c r="G6" s="6">
        <v>1.374</v>
      </c>
      <c r="H6" s="6">
        <v>1.37</v>
      </c>
      <c r="I6" s="7">
        <v>1.456</v>
      </c>
      <c r="J6" s="6">
        <v>1.37</v>
      </c>
      <c r="K6" s="6">
        <v>1.378</v>
      </c>
      <c r="L6" s="7">
        <v>1.433</v>
      </c>
      <c r="M6" s="6">
        <v>1.328</v>
      </c>
      <c r="N6" s="9">
        <v>1.206</v>
      </c>
      <c r="O6" s="4">
        <v>600.0</v>
      </c>
    </row>
    <row r="7">
      <c r="B7" s="2" t="s">
        <v>3</v>
      </c>
      <c r="C7" s="8">
        <v>1.271</v>
      </c>
      <c r="D7" s="8">
        <v>1.243</v>
      </c>
      <c r="E7" s="8">
        <v>1.246</v>
      </c>
      <c r="F7" s="6">
        <v>1.332</v>
      </c>
      <c r="G7" s="6">
        <v>1.328</v>
      </c>
      <c r="H7" s="8">
        <v>1.303</v>
      </c>
      <c r="I7" s="6">
        <v>1.391</v>
      </c>
      <c r="J7" s="6">
        <v>1.327</v>
      </c>
      <c r="K7" s="6">
        <v>1.32</v>
      </c>
      <c r="L7" s="6">
        <v>1.392</v>
      </c>
      <c r="M7" s="8">
        <v>1.255</v>
      </c>
      <c r="N7" s="9">
        <v>1.168</v>
      </c>
      <c r="O7" s="4">
        <v>600.0</v>
      </c>
    </row>
    <row r="8">
      <c r="B8" s="2" t="s">
        <v>4</v>
      </c>
      <c r="C8" s="10">
        <v>0.914</v>
      </c>
      <c r="D8" s="10">
        <v>0.987</v>
      </c>
      <c r="E8" s="9">
        <v>1.148</v>
      </c>
      <c r="F8" s="11">
        <v>0.612</v>
      </c>
      <c r="G8" s="8">
        <v>1.225</v>
      </c>
      <c r="H8" s="8">
        <v>1.225</v>
      </c>
      <c r="I8" s="8">
        <v>1.308</v>
      </c>
      <c r="J8" s="9">
        <v>1.178</v>
      </c>
      <c r="K8" s="9">
        <v>1.195</v>
      </c>
      <c r="L8" s="6">
        <v>1.334</v>
      </c>
      <c r="M8" s="9">
        <v>1.153</v>
      </c>
      <c r="N8" s="12">
        <v>1.106</v>
      </c>
      <c r="O8" s="4">
        <v>600.0</v>
      </c>
    </row>
    <row r="9">
      <c r="B9" s="2" t="s">
        <v>5</v>
      </c>
      <c r="C9" s="13">
        <v>0.437</v>
      </c>
      <c r="D9" s="11">
        <v>0.609</v>
      </c>
      <c r="E9" s="14">
        <v>0.735</v>
      </c>
      <c r="F9" s="15">
        <v>0.224</v>
      </c>
      <c r="G9" s="15">
        <v>0.289</v>
      </c>
      <c r="H9" s="15">
        <v>0.282</v>
      </c>
      <c r="I9" s="13">
        <v>0.442</v>
      </c>
      <c r="J9" s="14">
        <v>0.755</v>
      </c>
      <c r="K9" s="14">
        <v>0.779</v>
      </c>
      <c r="L9" s="14">
        <v>0.771</v>
      </c>
      <c r="M9" s="10">
        <v>1.007</v>
      </c>
      <c r="N9" s="10">
        <v>0.928</v>
      </c>
      <c r="O9" s="4">
        <v>600.0</v>
      </c>
    </row>
    <row r="10">
      <c r="B10" s="2" t="s">
        <v>6</v>
      </c>
      <c r="C10" s="15">
        <v>0.215</v>
      </c>
      <c r="D10" s="16">
        <v>0.36</v>
      </c>
      <c r="E10" s="16">
        <v>0.389</v>
      </c>
      <c r="F10" s="3">
        <v>0.188</v>
      </c>
      <c r="G10" s="15">
        <v>0.209</v>
      </c>
      <c r="H10" s="15">
        <v>0.203</v>
      </c>
      <c r="I10" s="15">
        <v>0.233</v>
      </c>
      <c r="J10" s="15">
        <v>0.265</v>
      </c>
      <c r="K10" s="15">
        <v>0.271</v>
      </c>
      <c r="L10" s="16">
        <v>0.359</v>
      </c>
      <c r="M10" s="16">
        <v>0.386</v>
      </c>
      <c r="N10" s="15">
        <v>0.236</v>
      </c>
      <c r="O10" s="4">
        <v>600.0</v>
      </c>
    </row>
    <row r="11">
      <c r="B11" s="2" t="s">
        <v>7</v>
      </c>
      <c r="C11" s="3">
        <v>0.12</v>
      </c>
      <c r="D11" s="3">
        <v>0.148</v>
      </c>
      <c r="E11" s="3">
        <v>0.191</v>
      </c>
      <c r="F11" s="3">
        <v>0.159</v>
      </c>
      <c r="G11" s="3">
        <v>0.161</v>
      </c>
      <c r="H11" s="3">
        <v>0.165</v>
      </c>
      <c r="I11" s="3">
        <v>0.183</v>
      </c>
      <c r="J11" s="3">
        <v>0.198</v>
      </c>
      <c r="K11" s="3">
        <v>0.196</v>
      </c>
      <c r="L11" s="15">
        <v>0.211</v>
      </c>
      <c r="M11" s="3">
        <v>0.186</v>
      </c>
      <c r="N11" s="3">
        <v>0.117</v>
      </c>
      <c r="O11" s="4">
        <v>600.0</v>
      </c>
    </row>
    <row r="14">
      <c r="C14" s="5">
        <f t="shared" ref="C14:N14" si="1">C5-$P$4</f>
        <v>1.241666667</v>
      </c>
      <c r="D14" s="5">
        <f t="shared" si="1"/>
        <v>1.254666667</v>
      </c>
      <c r="E14" s="5">
        <f t="shared" si="1"/>
        <v>1.302666667</v>
      </c>
      <c r="F14" s="5">
        <f t="shared" si="1"/>
        <v>1.349666667</v>
      </c>
      <c r="G14" s="5">
        <f t="shared" si="1"/>
        <v>1.325666667</v>
      </c>
      <c r="H14" s="5">
        <f t="shared" si="1"/>
        <v>1.333666667</v>
      </c>
      <c r="I14" s="5">
        <f t="shared" si="1"/>
        <v>1.392666667</v>
      </c>
      <c r="J14" s="5">
        <f t="shared" si="1"/>
        <v>1.341666667</v>
      </c>
      <c r="K14" s="5">
        <f t="shared" si="1"/>
        <v>1.340666667</v>
      </c>
      <c r="L14" s="5">
        <f t="shared" si="1"/>
        <v>1.363666667</v>
      </c>
      <c r="M14" s="5">
        <f t="shared" si="1"/>
        <v>1.301666667</v>
      </c>
      <c r="N14" s="5">
        <f t="shared" si="1"/>
        <v>1.214666667</v>
      </c>
    </row>
    <row r="15">
      <c r="C15" s="5">
        <f t="shared" ref="C15:N15" si="2">C6-$P$4</f>
        <v>1.180666667</v>
      </c>
      <c r="D15" s="5">
        <f t="shared" si="2"/>
        <v>1.155666667</v>
      </c>
      <c r="E15" s="5">
        <f t="shared" si="2"/>
        <v>1.218666667</v>
      </c>
      <c r="F15" s="5">
        <f t="shared" si="2"/>
        <v>1.283666667</v>
      </c>
      <c r="G15" s="5">
        <f t="shared" si="2"/>
        <v>1.247666667</v>
      </c>
      <c r="H15" s="5">
        <f t="shared" si="2"/>
        <v>1.243666667</v>
      </c>
      <c r="I15" s="5">
        <f t="shared" si="2"/>
        <v>1.329666667</v>
      </c>
      <c r="J15" s="5">
        <f t="shared" si="2"/>
        <v>1.243666667</v>
      </c>
      <c r="K15" s="5">
        <f t="shared" si="2"/>
        <v>1.251666667</v>
      </c>
      <c r="L15" s="5">
        <f t="shared" si="2"/>
        <v>1.306666667</v>
      </c>
      <c r="M15" s="5">
        <f t="shared" si="2"/>
        <v>1.201666667</v>
      </c>
      <c r="N15" s="5">
        <f t="shared" si="2"/>
        <v>1.079666667</v>
      </c>
    </row>
    <row r="16">
      <c r="C16" s="5">
        <f t="shared" ref="C16:N16" si="3">C7-$P$4</f>
        <v>1.144666667</v>
      </c>
      <c r="D16" s="5">
        <f t="shared" si="3"/>
        <v>1.116666667</v>
      </c>
      <c r="E16" s="5">
        <f t="shared" si="3"/>
        <v>1.119666667</v>
      </c>
      <c r="F16" s="5">
        <f t="shared" si="3"/>
        <v>1.205666667</v>
      </c>
      <c r="G16" s="5">
        <f t="shared" si="3"/>
        <v>1.201666667</v>
      </c>
      <c r="H16" s="5">
        <f t="shared" si="3"/>
        <v>1.176666667</v>
      </c>
      <c r="I16" s="5">
        <f t="shared" si="3"/>
        <v>1.264666667</v>
      </c>
      <c r="J16" s="5">
        <f t="shared" si="3"/>
        <v>1.200666667</v>
      </c>
      <c r="K16" s="5">
        <f t="shared" si="3"/>
        <v>1.193666667</v>
      </c>
      <c r="L16" s="5">
        <f t="shared" si="3"/>
        <v>1.265666667</v>
      </c>
      <c r="M16" s="5">
        <f t="shared" si="3"/>
        <v>1.128666667</v>
      </c>
      <c r="N16" s="5">
        <f t="shared" si="3"/>
        <v>1.041666667</v>
      </c>
    </row>
    <row r="17">
      <c r="C17" s="5">
        <f t="shared" ref="C17:N17" si="4">C8-$P$4</f>
        <v>0.7876666667</v>
      </c>
      <c r="D17" s="5">
        <f t="shared" si="4"/>
        <v>0.8606666667</v>
      </c>
      <c r="E17" s="5">
        <f t="shared" si="4"/>
        <v>1.021666667</v>
      </c>
      <c r="F17" s="5">
        <f t="shared" si="4"/>
        <v>0.4856666667</v>
      </c>
      <c r="G17" s="5">
        <f t="shared" si="4"/>
        <v>1.098666667</v>
      </c>
      <c r="H17" s="5">
        <f t="shared" si="4"/>
        <v>1.098666667</v>
      </c>
      <c r="I17" s="5">
        <f t="shared" si="4"/>
        <v>1.181666667</v>
      </c>
      <c r="J17" s="5">
        <f t="shared" si="4"/>
        <v>1.051666667</v>
      </c>
      <c r="K17" s="5">
        <f t="shared" si="4"/>
        <v>1.068666667</v>
      </c>
      <c r="L17" s="5">
        <f t="shared" si="4"/>
        <v>1.207666667</v>
      </c>
      <c r="M17" s="5">
        <f t="shared" si="4"/>
        <v>1.026666667</v>
      </c>
      <c r="N17" s="5">
        <f t="shared" si="4"/>
        <v>0.9796666667</v>
      </c>
    </row>
    <row r="18">
      <c r="C18" s="5">
        <f t="shared" ref="C18:N18" si="5">C9-$P$4</f>
        <v>0.3106666667</v>
      </c>
      <c r="D18" s="5">
        <f t="shared" si="5"/>
        <v>0.4826666667</v>
      </c>
      <c r="E18" s="5">
        <f t="shared" si="5"/>
        <v>0.6086666667</v>
      </c>
      <c r="F18" s="5">
        <f t="shared" si="5"/>
        <v>0.09766666667</v>
      </c>
      <c r="G18" s="5">
        <f t="shared" si="5"/>
        <v>0.1626666667</v>
      </c>
      <c r="H18" s="5">
        <f t="shared" si="5"/>
        <v>0.1556666667</v>
      </c>
      <c r="I18" s="5">
        <f t="shared" si="5"/>
        <v>0.3156666667</v>
      </c>
      <c r="J18" s="5">
        <f t="shared" si="5"/>
        <v>0.6286666667</v>
      </c>
      <c r="K18" s="5">
        <f t="shared" si="5"/>
        <v>0.6526666667</v>
      </c>
      <c r="L18" s="5">
        <f t="shared" si="5"/>
        <v>0.6446666667</v>
      </c>
      <c r="M18" s="5">
        <f t="shared" si="5"/>
        <v>0.8806666667</v>
      </c>
      <c r="N18" s="5">
        <f t="shared" si="5"/>
        <v>0.8016666667</v>
      </c>
    </row>
    <row r="19">
      <c r="C19" s="5">
        <f t="shared" ref="C19:N19" si="6">C10-$P$4</f>
        <v>0.08866666667</v>
      </c>
      <c r="D19" s="5">
        <f t="shared" si="6"/>
        <v>0.2336666667</v>
      </c>
      <c r="E19" s="5">
        <f t="shared" si="6"/>
        <v>0.2626666667</v>
      </c>
      <c r="F19" s="5">
        <f t="shared" si="6"/>
        <v>0.06166666667</v>
      </c>
      <c r="G19" s="5">
        <f t="shared" si="6"/>
        <v>0.08266666667</v>
      </c>
      <c r="H19" s="5">
        <f t="shared" si="6"/>
        <v>0.07666666667</v>
      </c>
      <c r="I19" s="5">
        <f t="shared" si="6"/>
        <v>0.1066666667</v>
      </c>
      <c r="J19" s="5">
        <f t="shared" si="6"/>
        <v>0.1386666667</v>
      </c>
      <c r="K19" s="5">
        <f t="shared" si="6"/>
        <v>0.1446666667</v>
      </c>
      <c r="L19" s="5">
        <f t="shared" si="6"/>
        <v>0.2326666667</v>
      </c>
      <c r="M19" s="5">
        <f t="shared" si="6"/>
        <v>0.2596666667</v>
      </c>
      <c r="N19" s="5">
        <f t="shared" si="6"/>
        <v>0.1096666667</v>
      </c>
    </row>
    <row r="20">
      <c r="C20" s="5">
        <f t="shared" ref="C20:N20" si="7">C11-$P$4</f>
        <v>-0.006333333333</v>
      </c>
      <c r="D20" s="5">
        <f t="shared" si="7"/>
        <v>0.02166666667</v>
      </c>
      <c r="E20" s="5">
        <f t="shared" si="7"/>
        <v>0.06466666667</v>
      </c>
      <c r="F20" s="5">
        <f t="shared" si="7"/>
        <v>0.03266666667</v>
      </c>
      <c r="G20" s="5">
        <f t="shared" si="7"/>
        <v>0.03466666667</v>
      </c>
      <c r="H20" s="5">
        <f t="shared" si="7"/>
        <v>0.03866666667</v>
      </c>
      <c r="I20" s="5">
        <f t="shared" si="7"/>
        <v>0.05666666667</v>
      </c>
      <c r="J20" s="5">
        <f t="shared" si="7"/>
        <v>0.07166666667</v>
      </c>
      <c r="K20" s="5">
        <f t="shared" si="7"/>
        <v>0.06966666667</v>
      </c>
      <c r="L20" s="5">
        <f t="shared" si="7"/>
        <v>0.08466666667</v>
      </c>
      <c r="M20" s="5">
        <f t="shared" si="7"/>
        <v>0.05966666667</v>
      </c>
      <c r="N20" s="5">
        <f t="shared" si="7"/>
        <v>-0.009333333333</v>
      </c>
    </row>
    <row r="21" ht="15.75" customHeight="1"/>
    <row r="22" ht="15.75" customHeight="1">
      <c r="C22" s="17">
        <v>2868.0</v>
      </c>
      <c r="D22" s="17" t="s">
        <v>8</v>
      </c>
      <c r="E22" s="17" t="s">
        <v>9</v>
      </c>
      <c r="F22" s="17">
        <v>2875.0</v>
      </c>
      <c r="G22" s="17" t="s">
        <v>10</v>
      </c>
      <c r="H22" s="17" t="s">
        <v>11</v>
      </c>
      <c r="I22" s="17">
        <v>2876.0</v>
      </c>
      <c r="J22" s="17" t="s">
        <v>8</v>
      </c>
      <c r="K22" s="17" t="s">
        <v>12</v>
      </c>
      <c r="L22" s="17">
        <v>5192.0</v>
      </c>
      <c r="M22" s="17" t="s">
        <v>8</v>
      </c>
      <c r="N22" s="17" t="s">
        <v>12</v>
      </c>
    </row>
    <row r="23" ht="15.75" customHeight="1">
      <c r="C23" s="5">
        <f t="shared" ref="C23:C29" si="8">C14/$C$14</f>
        <v>1</v>
      </c>
      <c r="D23" s="5">
        <f t="shared" ref="D23:D29" si="9">D14/$D$14</f>
        <v>1</v>
      </c>
      <c r="E23" s="5">
        <f t="shared" ref="E23:E29" si="10">E14/$E$14</f>
        <v>1</v>
      </c>
      <c r="F23" s="5">
        <f t="shared" ref="F23:F29" si="11">F14/$F$14</f>
        <v>1</v>
      </c>
      <c r="G23" s="5">
        <f t="shared" ref="G23:G29" si="12">G14/$G$14</f>
        <v>1</v>
      </c>
      <c r="H23" s="5">
        <f t="shared" ref="H23:H29" si="13">H14/$H$14</f>
        <v>1</v>
      </c>
      <c r="I23" s="5">
        <f t="shared" ref="I23:I29" si="14">I14/$I$14</f>
        <v>1</v>
      </c>
      <c r="J23" s="5">
        <f t="shared" ref="J23:J29" si="15">J14/$J$14</f>
        <v>1</v>
      </c>
      <c r="K23" s="5">
        <f t="shared" ref="K23:K29" si="16">K14/$K$14</f>
        <v>1</v>
      </c>
      <c r="L23" s="5">
        <f t="shared" ref="L23:L29" si="17">L14/$L$14</f>
        <v>1</v>
      </c>
      <c r="M23" s="5">
        <f t="shared" ref="M23:M29" si="18">M14/$M$14</f>
        <v>1</v>
      </c>
      <c r="N23" s="5">
        <f t="shared" ref="N23:N29" si="19">N14/$N$14</f>
        <v>1</v>
      </c>
      <c r="P23" s="18" t="s">
        <v>13</v>
      </c>
      <c r="Q23" s="17">
        <v>2868.0</v>
      </c>
      <c r="R23" s="17" t="s">
        <v>8</v>
      </c>
      <c r="S23" s="17" t="s">
        <v>9</v>
      </c>
      <c r="T23" s="17">
        <v>2875.0</v>
      </c>
      <c r="U23" s="17" t="s">
        <v>10</v>
      </c>
      <c r="V23" s="17" t="s">
        <v>11</v>
      </c>
      <c r="W23" s="17">
        <v>2876.0</v>
      </c>
      <c r="X23" s="17" t="s">
        <v>8</v>
      </c>
      <c r="Y23" s="17" t="s">
        <v>12</v>
      </c>
      <c r="Z23" s="17">
        <v>5192.0</v>
      </c>
      <c r="AA23" s="17" t="s">
        <v>8</v>
      </c>
      <c r="AB23" s="17" t="s">
        <v>12</v>
      </c>
      <c r="AC23" s="19"/>
    </row>
    <row r="24" ht="15.75" customHeight="1">
      <c r="C24" s="5">
        <f t="shared" si="8"/>
        <v>0.9508724832</v>
      </c>
      <c r="D24" s="5">
        <f t="shared" si="9"/>
        <v>0.9210945802</v>
      </c>
      <c r="E24" s="5">
        <f t="shared" si="10"/>
        <v>0.9355168884</v>
      </c>
      <c r="F24" s="5">
        <f t="shared" si="11"/>
        <v>0.9510990368</v>
      </c>
      <c r="G24" s="5">
        <f t="shared" si="12"/>
        <v>0.9411616797</v>
      </c>
      <c r="H24" s="5">
        <f t="shared" si="13"/>
        <v>0.9325168708</v>
      </c>
      <c r="I24" s="5">
        <f t="shared" si="14"/>
        <v>0.9547630445</v>
      </c>
      <c r="J24" s="5">
        <f t="shared" si="15"/>
        <v>0.9269565217</v>
      </c>
      <c r="K24" s="5">
        <f t="shared" si="16"/>
        <v>0.9336151169</v>
      </c>
      <c r="L24" s="5">
        <f t="shared" si="17"/>
        <v>0.9582009289</v>
      </c>
      <c r="M24" s="5">
        <f t="shared" si="18"/>
        <v>0.9231754161</v>
      </c>
      <c r="N24" s="5">
        <f t="shared" si="19"/>
        <v>0.8888583974</v>
      </c>
      <c r="P24" s="18" t="s">
        <v>14</v>
      </c>
      <c r="Q24" s="5">
        <f t="shared" ref="Q24:AB24" si="20">AVERAGE(C23,C32,C41)</f>
        <v>1</v>
      </c>
      <c r="R24" s="5">
        <f t="shared" si="20"/>
        <v>1</v>
      </c>
      <c r="S24" s="5">
        <f t="shared" si="20"/>
        <v>1</v>
      </c>
      <c r="T24" s="5">
        <f t="shared" si="20"/>
        <v>1</v>
      </c>
      <c r="U24" s="5">
        <f t="shared" si="20"/>
        <v>1</v>
      </c>
      <c r="V24" s="5">
        <f t="shared" si="20"/>
        <v>1</v>
      </c>
      <c r="W24" s="5">
        <f t="shared" si="20"/>
        <v>1</v>
      </c>
      <c r="X24" s="5">
        <f t="shared" si="20"/>
        <v>1</v>
      </c>
      <c r="Y24" s="5">
        <f t="shared" si="20"/>
        <v>1</v>
      </c>
      <c r="Z24" s="5">
        <f t="shared" si="20"/>
        <v>1</v>
      </c>
      <c r="AA24" s="5">
        <f t="shared" si="20"/>
        <v>1</v>
      </c>
      <c r="AB24" s="5">
        <f t="shared" si="20"/>
        <v>1</v>
      </c>
    </row>
    <row r="25" ht="15.75" customHeight="1">
      <c r="C25" s="5">
        <f t="shared" si="8"/>
        <v>0.9218791946</v>
      </c>
      <c r="D25" s="5">
        <f t="shared" si="9"/>
        <v>0.890010627</v>
      </c>
      <c r="E25" s="5">
        <f t="shared" si="10"/>
        <v>0.8595189355</v>
      </c>
      <c r="F25" s="5">
        <f t="shared" si="11"/>
        <v>0.8933069894</v>
      </c>
      <c r="G25" s="5">
        <f t="shared" si="12"/>
        <v>0.9064621574</v>
      </c>
      <c r="H25" s="5">
        <f t="shared" si="13"/>
        <v>0.8822794301</v>
      </c>
      <c r="I25" s="5">
        <f t="shared" si="14"/>
        <v>0.9080899952</v>
      </c>
      <c r="J25" s="5">
        <f t="shared" si="15"/>
        <v>0.8949068323</v>
      </c>
      <c r="K25" s="5">
        <f t="shared" si="16"/>
        <v>0.8903530582</v>
      </c>
      <c r="L25" s="5">
        <f t="shared" si="17"/>
        <v>0.9281349303</v>
      </c>
      <c r="M25" s="5">
        <f t="shared" si="18"/>
        <v>0.8670934699</v>
      </c>
      <c r="N25" s="5">
        <f t="shared" si="19"/>
        <v>0.8575740944</v>
      </c>
      <c r="P25" s="20">
        <v>7.5E-5</v>
      </c>
      <c r="Q25" s="5">
        <f t="shared" ref="Q25:AB25" si="21">AVERAGE(C24,C33,C42)</f>
        <v>0.9736073318</v>
      </c>
      <c r="R25" s="5">
        <f t="shared" si="21"/>
        <v>0.9639360948</v>
      </c>
      <c r="S25" s="5">
        <f t="shared" si="21"/>
        <v>0.9657678768</v>
      </c>
      <c r="T25" s="5">
        <f t="shared" si="21"/>
        <v>0.9781277763</v>
      </c>
      <c r="U25" s="5">
        <f t="shared" si="21"/>
        <v>0.9686475864</v>
      </c>
      <c r="V25" s="5">
        <f t="shared" si="21"/>
        <v>0.9497021686</v>
      </c>
      <c r="W25" s="5">
        <f t="shared" si="21"/>
        <v>0.9846113691</v>
      </c>
      <c r="X25" s="5">
        <f t="shared" si="21"/>
        <v>0.9486714253</v>
      </c>
      <c r="Y25" s="5">
        <f t="shared" si="21"/>
        <v>0.9472963876</v>
      </c>
      <c r="Z25" s="5">
        <f t="shared" si="21"/>
        <v>0.9630807527</v>
      </c>
      <c r="AA25" s="5">
        <f t="shared" si="21"/>
        <v>0.9282700942</v>
      </c>
      <c r="AB25" s="5">
        <f t="shared" si="21"/>
        <v>0.9121724816</v>
      </c>
    </row>
    <row r="26" ht="15.75" customHeight="1">
      <c r="C26" s="5">
        <f t="shared" si="8"/>
        <v>0.6343624161</v>
      </c>
      <c r="D26" s="5">
        <f t="shared" si="9"/>
        <v>0.6859723698</v>
      </c>
      <c r="E26" s="5">
        <f t="shared" si="10"/>
        <v>0.7842886387</v>
      </c>
      <c r="F26" s="5">
        <f t="shared" si="11"/>
        <v>0.3598419363</v>
      </c>
      <c r="G26" s="5">
        <f t="shared" si="12"/>
        <v>0.8287654011</v>
      </c>
      <c r="H26" s="5">
        <f t="shared" si="13"/>
        <v>0.8237940515</v>
      </c>
      <c r="I26" s="5">
        <f t="shared" si="14"/>
        <v>0.8484921015</v>
      </c>
      <c r="J26" s="5">
        <f t="shared" si="15"/>
        <v>0.7838509317</v>
      </c>
      <c r="K26" s="5">
        <f t="shared" si="16"/>
        <v>0.7971158628</v>
      </c>
      <c r="L26" s="5">
        <f t="shared" si="17"/>
        <v>0.8856025422</v>
      </c>
      <c r="M26" s="5">
        <f t="shared" si="18"/>
        <v>0.7887323944</v>
      </c>
      <c r="N26" s="5">
        <f t="shared" si="19"/>
        <v>0.8065312843</v>
      </c>
      <c r="P26" s="20">
        <v>1.5E-4</v>
      </c>
      <c r="Q26" s="5">
        <f t="shared" ref="Q26:AB26" si="22">AVERAGE(C25,C34,C43)</f>
        <v>0.9375300737</v>
      </c>
      <c r="R26" s="5">
        <f t="shared" si="22"/>
        <v>0.9276835188</v>
      </c>
      <c r="S26" s="5">
        <f t="shared" si="22"/>
        <v>0.9193589286</v>
      </c>
      <c r="T26" s="5">
        <f t="shared" si="22"/>
        <v>0.9344332234</v>
      </c>
      <c r="U26" s="5">
        <f t="shared" si="22"/>
        <v>0.9178930293</v>
      </c>
      <c r="V26" s="5">
        <f t="shared" si="22"/>
        <v>0.8940463735</v>
      </c>
      <c r="W26" s="5">
        <f t="shared" si="22"/>
        <v>0.9331517247</v>
      </c>
      <c r="X26" s="5">
        <f t="shared" si="22"/>
        <v>0.9176388489</v>
      </c>
      <c r="Y26" s="5">
        <f t="shared" si="22"/>
        <v>0.9076510211</v>
      </c>
      <c r="Z26" s="5">
        <f t="shared" si="22"/>
        <v>0.9416616207</v>
      </c>
      <c r="AA26" s="5">
        <f t="shared" si="22"/>
        <v>0.8835402634</v>
      </c>
      <c r="AB26" s="5">
        <f t="shared" si="22"/>
        <v>0.8667896628</v>
      </c>
    </row>
    <row r="27" ht="15.75" customHeight="1">
      <c r="C27" s="5">
        <f t="shared" si="8"/>
        <v>0.2502013423</v>
      </c>
      <c r="D27" s="5">
        <f t="shared" si="9"/>
        <v>0.3846971307</v>
      </c>
      <c r="E27" s="5">
        <f t="shared" si="10"/>
        <v>0.4672466735</v>
      </c>
      <c r="F27" s="5">
        <f t="shared" si="11"/>
        <v>0.07236354655</v>
      </c>
      <c r="G27" s="5">
        <f t="shared" si="12"/>
        <v>0.122705557</v>
      </c>
      <c r="H27" s="5">
        <f t="shared" si="13"/>
        <v>0.1167208198</v>
      </c>
      <c r="I27" s="5">
        <f t="shared" si="14"/>
        <v>0.2266634753</v>
      </c>
      <c r="J27" s="5">
        <f t="shared" si="15"/>
        <v>0.4685714286</v>
      </c>
      <c r="K27" s="5">
        <f t="shared" si="16"/>
        <v>0.4868224764</v>
      </c>
      <c r="L27" s="5">
        <f t="shared" si="17"/>
        <v>0.4727450501</v>
      </c>
      <c r="M27" s="5">
        <f t="shared" si="18"/>
        <v>0.6765685019</v>
      </c>
      <c r="N27" s="5">
        <f t="shared" si="19"/>
        <v>0.6599890231</v>
      </c>
      <c r="P27" s="20">
        <v>3.0E-4</v>
      </c>
      <c r="Q27" s="5">
        <f t="shared" ref="Q27:AB27" si="23">AVERAGE(C26,C35,C44)</f>
        <v>0.6555025096</v>
      </c>
      <c r="R27" s="5">
        <f t="shared" si="23"/>
        <v>0.7252058181</v>
      </c>
      <c r="S27" s="5">
        <f t="shared" si="23"/>
        <v>0.8439646963</v>
      </c>
      <c r="T27" s="5">
        <f t="shared" si="23"/>
        <v>0.3950349792</v>
      </c>
      <c r="U27" s="5">
        <f t="shared" si="23"/>
        <v>0.867496557</v>
      </c>
      <c r="V27" s="5">
        <f t="shared" si="23"/>
        <v>0.8437976542</v>
      </c>
      <c r="W27" s="5">
        <f t="shared" si="23"/>
        <v>0.8719564052</v>
      </c>
      <c r="X27" s="5">
        <f t="shared" si="23"/>
        <v>0.8401003138</v>
      </c>
      <c r="Y27" s="5">
        <f t="shared" si="23"/>
        <v>0.8326755651</v>
      </c>
      <c r="Z27" s="5">
        <f t="shared" si="23"/>
        <v>0.9044631084</v>
      </c>
      <c r="AA27" s="5">
        <f t="shared" si="23"/>
        <v>0.8473710856</v>
      </c>
      <c r="AB27" s="5">
        <f t="shared" si="23"/>
        <v>0.8117222131</v>
      </c>
    </row>
    <row r="28" ht="15.75" customHeight="1">
      <c r="C28" s="5">
        <f t="shared" si="8"/>
        <v>0.07140939597</v>
      </c>
      <c r="D28" s="5">
        <f t="shared" si="9"/>
        <v>0.1862380446</v>
      </c>
      <c r="E28" s="5">
        <f t="shared" si="10"/>
        <v>0.2016376663</v>
      </c>
      <c r="F28" s="5">
        <f t="shared" si="11"/>
        <v>0.0456902939</v>
      </c>
      <c r="G28" s="5">
        <f t="shared" si="12"/>
        <v>0.06235856173</v>
      </c>
      <c r="H28" s="5">
        <f t="shared" si="13"/>
        <v>0.05748562859</v>
      </c>
      <c r="I28" s="5">
        <f t="shared" si="14"/>
        <v>0.07659167066</v>
      </c>
      <c r="J28" s="5">
        <f t="shared" si="15"/>
        <v>0.1033540373</v>
      </c>
      <c r="K28" s="5">
        <f t="shared" si="16"/>
        <v>0.1079065142</v>
      </c>
      <c r="L28" s="5">
        <f t="shared" si="17"/>
        <v>0.1706184307</v>
      </c>
      <c r="M28" s="5">
        <f t="shared" si="18"/>
        <v>0.1994878361</v>
      </c>
      <c r="N28" s="5">
        <f t="shared" si="19"/>
        <v>0.09028540066</v>
      </c>
      <c r="P28" s="20">
        <v>6.0E-4</v>
      </c>
      <c r="Q28" s="5">
        <f t="shared" ref="Q28:AB28" si="24">AVERAGE(C27,C36,C45)</f>
        <v>0.2712252555</v>
      </c>
      <c r="R28" s="5">
        <f t="shared" si="24"/>
        <v>0.4043480212</v>
      </c>
      <c r="S28" s="5">
        <f t="shared" si="24"/>
        <v>0.496685283</v>
      </c>
      <c r="T28" s="5">
        <f t="shared" si="24"/>
        <v>0.07023312381</v>
      </c>
      <c r="U28" s="5">
        <f t="shared" si="24"/>
        <v>0.1339033809</v>
      </c>
      <c r="V28" s="5">
        <f t="shared" si="24"/>
        <v>0.1371612622</v>
      </c>
      <c r="W28" s="5">
        <f t="shared" si="24"/>
        <v>0.2247548504</v>
      </c>
      <c r="X28" s="5">
        <f t="shared" si="24"/>
        <v>0.4701150484</v>
      </c>
      <c r="Y28" s="5">
        <f t="shared" si="24"/>
        <v>0.5010911183</v>
      </c>
      <c r="Z28" s="5">
        <f t="shared" si="24"/>
        <v>0.4476227955</v>
      </c>
      <c r="AA28" s="5">
        <f t="shared" si="24"/>
        <v>0.7343690254</v>
      </c>
      <c r="AB28" s="5">
        <f t="shared" si="24"/>
        <v>0.6935440382</v>
      </c>
    </row>
    <row r="29" ht="15.75" customHeight="1">
      <c r="C29" s="5">
        <f t="shared" si="8"/>
        <v>-0.005100671141</v>
      </c>
      <c r="D29" s="5">
        <f t="shared" si="9"/>
        <v>0.01726886291</v>
      </c>
      <c r="E29" s="5">
        <f t="shared" si="10"/>
        <v>0.04964176049</v>
      </c>
      <c r="F29" s="5">
        <f t="shared" si="11"/>
        <v>0.02420350704</v>
      </c>
      <c r="G29" s="5">
        <f t="shared" si="12"/>
        <v>0.0261503646</v>
      </c>
      <c r="H29" s="5">
        <f t="shared" si="13"/>
        <v>0.02899275181</v>
      </c>
      <c r="I29" s="5">
        <f t="shared" si="14"/>
        <v>0.04068932504</v>
      </c>
      <c r="J29" s="5">
        <f t="shared" si="15"/>
        <v>0.05341614907</v>
      </c>
      <c r="K29" s="5">
        <f t="shared" si="16"/>
        <v>0.05196419692</v>
      </c>
      <c r="L29" s="5">
        <f t="shared" si="17"/>
        <v>0.06208750917</v>
      </c>
      <c r="M29" s="5">
        <f t="shared" si="18"/>
        <v>0.04583866837</v>
      </c>
      <c r="N29" s="5">
        <f t="shared" si="19"/>
        <v>-0.007683863886</v>
      </c>
      <c r="P29" s="20">
        <v>0.0012</v>
      </c>
      <c r="Q29" s="5">
        <f t="shared" ref="Q29:AB29" si="25">AVERAGE(C28,C37,C46)</f>
        <v>0.09235585388</v>
      </c>
      <c r="R29" s="5">
        <f t="shared" si="25"/>
        <v>0.1658822501</v>
      </c>
      <c r="S29" s="5">
        <f t="shared" si="25"/>
        <v>0.2138509281</v>
      </c>
      <c r="T29" s="5">
        <f t="shared" si="25"/>
        <v>0.02084292811</v>
      </c>
      <c r="U29" s="5">
        <f t="shared" si="25"/>
        <v>0.04903799808</v>
      </c>
      <c r="V29" s="5">
        <f t="shared" si="25"/>
        <v>0.04739009144</v>
      </c>
      <c r="W29" s="5">
        <f t="shared" si="25"/>
        <v>0.06191343188</v>
      </c>
      <c r="X29" s="5">
        <f t="shared" si="25"/>
        <v>0.06265150923</v>
      </c>
      <c r="Y29" s="5">
        <f t="shared" si="25"/>
        <v>0.06762903923</v>
      </c>
      <c r="Z29" s="5">
        <f t="shared" si="25"/>
        <v>0.1127885248</v>
      </c>
      <c r="AA29" s="5">
        <f t="shared" si="25"/>
        <v>0.1505221351</v>
      </c>
      <c r="AB29" s="5">
        <f t="shared" si="25"/>
        <v>0.1073921201</v>
      </c>
    </row>
    <row r="30" ht="15.75" customHeight="1">
      <c r="P30" s="20">
        <v>0.0024</v>
      </c>
      <c r="Q30" s="5">
        <f t="shared" ref="Q30:AB30" si="26">AVERAGE(C29,C38,C47)</f>
        <v>0.007888420923</v>
      </c>
      <c r="R30" s="5">
        <f t="shared" si="26"/>
        <v>0.01638797606</v>
      </c>
      <c r="S30" s="5">
        <f t="shared" si="26"/>
        <v>0.0365834565</v>
      </c>
      <c r="T30" s="5">
        <f t="shared" si="26"/>
        <v>0.007839311737</v>
      </c>
      <c r="U30" s="5">
        <f t="shared" si="26"/>
        <v>0.009008221907</v>
      </c>
      <c r="V30" s="5">
        <f t="shared" si="26"/>
        <v>0.0104775894</v>
      </c>
      <c r="W30" s="5">
        <f t="shared" si="26"/>
        <v>0.01732480818</v>
      </c>
      <c r="X30" s="5">
        <f t="shared" si="26"/>
        <v>0.02126079367</v>
      </c>
      <c r="Y30" s="5">
        <f t="shared" si="26"/>
        <v>0.02124468873</v>
      </c>
      <c r="Z30" s="5">
        <f t="shared" si="26"/>
        <v>0.02576717506</v>
      </c>
      <c r="AA30" s="5">
        <f t="shared" si="26"/>
        <v>0.02062986217</v>
      </c>
      <c r="AB30" s="5">
        <f t="shared" si="26"/>
        <v>0.004143976321</v>
      </c>
    </row>
    <row r="31" ht="15.75" customHeight="1"/>
    <row r="32" ht="15.75" customHeight="1">
      <c r="C32" s="5">
        <v>1.0</v>
      </c>
      <c r="D32" s="5">
        <v>1.0</v>
      </c>
      <c r="E32" s="5">
        <v>1.0</v>
      </c>
      <c r="F32" s="5">
        <v>1.0</v>
      </c>
      <c r="G32" s="5">
        <v>1.0</v>
      </c>
      <c r="H32" s="5">
        <v>1.0</v>
      </c>
      <c r="I32" s="5">
        <v>1.0</v>
      </c>
      <c r="J32" s="5">
        <v>1.0</v>
      </c>
      <c r="K32" s="5">
        <v>1.0</v>
      </c>
      <c r="L32" s="5">
        <v>1.0</v>
      </c>
      <c r="M32" s="5">
        <v>1.0</v>
      </c>
      <c r="N32" s="5">
        <v>1.0</v>
      </c>
    </row>
    <row r="33" ht="15.75" customHeight="1">
      <c r="C33" s="5">
        <v>0.9652064292467696</v>
      </c>
      <c r="D33" s="5">
        <v>0.9624832514515409</v>
      </c>
      <c r="E33" s="5">
        <v>0.9763734518894887</v>
      </c>
      <c r="F33" s="5">
        <v>0.9932689311311936</v>
      </c>
      <c r="G33" s="5">
        <v>0.9574818095539388</v>
      </c>
      <c r="H33" s="5">
        <v>0.9519114560142485</v>
      </c>
      <c r="I33" s="5">
        <v>0.9715553394517717</v>
      </c>
      <c r="J33" s="5">
        <v>0.9272077134282612</v>
      </c>
      <c r="K33" s="5">
        <v>0.9362070069813617</v>
      </c>
      <c r="L33" s="5">
        <v>0.9546513825029919</v>
      </c>
      <c r="M33" s="5">
        <v>0.8815353640319543</v>
      </c>
      <c r="N33" s="5">
        <v>0.8765607815229346</v>
      </c>
    </row>
    <row r="34" ht="15.75" customHeight="1">
      <c r="C34" s="5">
        <v>0.9167979829814056</v>
      </c>
      <c r="D34" s="5">
        <v>0.9226695591144006</v>
      </c>
      <c r="E34" s="5">
        <v>0.9382661162273738</v>
      </c>
      <c r="F34" s="5">
        <v>0.9483951386724837</v>
      </c>
      <c r="G34" s="5">
        <v>0.8975007908889592</v>
      </c>
      <c r="H34" s="5">
        <v>0.8885567075885756</v>
      </c>
      <c r="I34" s="5">
        <v>0.9110192670029783</v>
      </c>
      <c r="J34" s="5">
        <v>0.9003895025860418</v>
      </c>
      <c r="K34" s="5">
        <v>0.8908601806187152</v>
      </c>
      <c r="L34" s="5">
        <v>0.9440700384203566</v>
      </c>
      <c r="M34" s="5">
        <v>0.8581541858803663</v>
      </c>
      <c r="N34" s="5">
        <v>0.8245455133596429</v>
      </c>
      <c r="P34" s="19" t="s">
        <v>15</v>
      </c>
    </row>
    <row r="35" ht="15.75" customHeight="1">
      <c r="C35" s="5">
        <v>0.646769618657422</v>
      </c>
      <c r="D35" s="5">
        <v>0.7044598991896892</v>
      </c>
      <c r="E35" s="5">
        <v>0.852143537630994</v>
      </c>
      <c r="F35" s="5">
        <v>0.41589280149579316</v>
      </c>
      <c r="G35" s="5">
        <v>0.8572603606453654</v>
      </c>
      <c r="H35" s="5">
        <v>0.8481012658227848</v>
      </c>
      <c r="I35" s="5">
        <v>0.847565793472315</v>
      </c>
      <c r="J35" s="5">
        <v>0.838324500351191</v>
      </c>
      <c r="K35" s="5">
        <v>0.8286043681547429</v>
      </c>
      <c r="L35" s="5">
        <v>0.9123260061724507</v>
      </c>
      <c r="M35" s="5">
        <v>0.8238617912580373</v>
      </c>
      <c r="N35" s="5">
        <v>0.788833538202756</v>
      </c>
    </row>
    <row r="36" ht="15.75" customHeight="1">
      <c r="C36" s="5">
        <v>0.2678222502363694</v>
      </c>
      <c r="D36" s="5">
        <v>0.39130989599948957</v>
      </c>
      <c r="E36" s="5">
        <v>0.5114639568116863</v>
      </c>
      <c r="F36" s="5">
        <v>0.05615456528513555</v>
      </c>
      <c r="G36" s="5">
        <v>0.10787725403353371</v>
      </c>
      <c r="H36" s="5">
        <v>0.09853062782265759</v>
      </c>
      <c r="I36" s="5">
        <v>0.19917340302680364</v>
      </c>
      <c r="J36" s="5">
        <v>0.44218121448183395</v>
      </c>
      <c r="K36" s="5">
        <v>0.48811887529622755</v>
      </c>
      <c r="L36" s="5">
        <v>0.45732821061913465</v>
      </c>
      <c r="M36" s="5">
        <v>0.7404689225173736</v>
      </c>
      <c r="N36" s="5">
        <v>0.6964482111664618</v>
      </c>
    </row>
    <row r="37" ht="15.75" customHeight="1">
      <c r="C37" s="5">
        <v>0.08629057674125433</v>
      </c>
      <c r="D37" s="5">
        <v>0.12869265616027567</v>
      </c>
      <c r="E37" s="5">
        <v>0.18221657669101304</v>
      </c>
      <c r="F37" s="5">
        <v>0.004549703957619194</v>
      </c>
      <c r="G37" s="5">
        <v>0.006896551724137931</v>
      </c>
      <c r="H37" s="5">
        <v>0.005406780739138729</v>
      </c>
      <c r="I37" s="5">
        <v>0.022670637573694773</v>
      </c>
      <c r="J37" s="5">
        <v>0.029180767511653143</v>
      </c>
      <c r="K37" s="5">
        <v>0.043105104720425294</v>
      </c>
      <c r="L37" s="5">
        <v>0.08244630597719972</v>
      </c>
      <c r="M37" s="5">
        <v>0.11775021108008056</v>
      </c>
      <c r="N37" s="5">
        <v>0.10720062107782882</v>
      </c>
    </row>
    <row r="38" ht="15.75" customHeight="1">
      <c r="C38" s="5">
        <v>0.012165143397415689</v>
      </c>
      <c r="D38" s="5">
        <v>0.014611114655777448</v>
      </c>
      <c r="E38" s="5">
        <v>0.0244522070498571</v>
      </c>
      <c r="F38" s="5">
        <v>-6.855718292302974E-4</v>
      </c>
      <c r="G38" s="5">
        <v>6.327111673520341E-5</v>
      </c>
      <c r="H38" s="5">
        <v>-6.99701036829726E-4</v>
      </c>
      <c r="I38" s="5">
        <v>0.007354281893879536</v>
      </c>
      <c r="J38" s="5">
        <v>0.004661260455909582</v>
      </c>
      <c r="K38" s="5">
        <v>0.006981361685774675</v>
      </c>
      <c r="L38" s="5">
        <v>0.010644328273603329</v>
      </c>
      <c r="M38" s="5">
        <v>0.009417418977722936</v>
      </c>
      <c r="N38" s="5">
        <v>0.009380863039399627</v>
      </c>
    </row>
    <row r="39" ht="15.75" customHeight="1"/>
    <row r="40" ht="15.75" customHeight="1"/>
    <row r="41" ht="15.75" customHeight="1">
      <c r="C41" s="5">
        <v>1.0</v>
      </c>
      <c r="D41" s="5">
        <v>1.0</v>
      </c>
      <c r="E41" s="5">
        <v>1.0</v>
      </c>
      <c r="F41" s="5">
        <v>1.0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5">
        <v>1.0</v>
      </c>
      <c r="N41" s="5">
        <v>1.0</v>
      </c>
    </row>
    <row r="42" ht="15.75" customHeight="1">
      <c r="C42" s="5">
        <v>1.0047430830039525</v>
      </c>
      <c r="D42" s="5">
        <v>1.008230452674897</v>
      </c>
      <c r="E42" s="5">
        <v>0.9854132901134521</v>
      </c>
      <c r="F42" s="5">
        <v>0.9900153609831029</v>
      </c>
      <c r="G42" s="5">
        <v>1.0072992700729928</v>
      </c>
      <c r="H42" s="5">
        <v>0.9646781789638933</v>
      </c>
      <c r="I42" s="5">
        <v>1.0275157232704402</v>
      </c>
      <c r="J42" s="5">
        <v>0.9918500407497962</v>
      </c>
      <c r="K42" s="5">
        <v>0.9720670391061453</v>
      </c>
      <c r="L42" s="5">
        <v>0.9763899466869763</v>
      </c>
      <c r="M42" s="5">
        <v>0.9800995024875622</v>
      </c>
      <c r="N42" s="5">
        <v>0.9710982658959538</v>
      </c>
    </row>
    <row r="43" ht="15.75" customHeight="1">
      <c r="C43" s="5">
        <v>0.9739130434782609</v>
      </c>
      <c r="D43" s="5">
        <v>0.9703703703703703</v>
      </c>
      <c r="E43" s="5">
        <v>0.9602917341977308</v>
      </c>
      <c r="F43" s="5">
        <v>0.9615975422427037</v>
      </c>
      <c r="G43" s="5">
        <v>0.9497161394971614</v>
      </c>
      <c r="H43" s="5">
        <v>0.9113029827315542</v>
      </c>
      <c r="I43" s="5">
        <v>0.9803459119496855</v>
      </c>
      <c r="J43" s="5">
        <v>0.9576202118989404</v>
      </c>
      <c r="K43" s="5">
        <v>0.9417398244213887</v>
      </c>
      <c r="L43" s="5">
        <v>0.9527798933739527</v>
      </c>
      <c r="M43" s="5">
        <v>0.9253731343283581</v>
      </c>
      <c r="N43" s="5">
        <v>0.9182493806771264</v>
      </c>
    </row>
    <row r="44" ht="15.75" customHeight="1">
      <c r="C44" s="5">
        <v>0.6853754940711463</v>
      </c>
      <c r="D44" s="5">
        <v>0.7851851851851853</v>
      </c>
      <c r="E44" s="5">
        <v>0.8954619124797407</v>
      </c>
      <c r="F44" s="5">
        <v>0.40937019969278043</v>
      </c>
      <c r="G44" s="5">
        <v>0.916463909164639</v>
      </c>
      <c r="H44" s="5">
        <v>0.8594976452119311</v>
      </c>
      <c r="I44" s="5">
        <v>0.9198113207547169</v>
      </c>
      <c r="J44" s="5">
        <v>0.8981255093724532</v>
      </c>
      <c r="K44" s="5">
        <v>0.8723064644852355</v>
      </c>
      <c r="L44" s="5">
        <v>0.9154607768469155</v>
      </c>
      <c r="M44" s="5">
        <v>0.9295190713101161</v>
      </c>
      <c r="N44" s="5">
        <v>0.8398018166804294</v>
      </c>
    </row>
    <row r="45" ht="15.75" customHeight="1">
      <c r="C45" s="5">
        <v>0.2956521739130435</v>
      </c>
      <c r="D45" s="5">
        <v>0.4370370370370371</v>
      </c>
      <c r="E45" s="5">
        <v>0.5113452188006483</v>
      </c>
      <c r="F45" s="5">
        <v>0.08218125960061445</v>
      </c>
      <c r="G45" s="5">
        <v>0.17112733171127334</v>
      </c>
      <c r="H45" s="5">
        <v>0.19623233908948198</v>
      </c>
      <c r="I45" s="5">
        <v>0.24842767295597484</v>
      </c>
      <c r="J45" s="5">
        <v>0.49959250203748984</v>
      </c>
      <c r="K45" s="5">
        <v>0.5283320031923384</v>
      </c>
      <c r="L45" s="5">
        <v>0.41279512566641285</v>
      </c>
      <c r="M45" s="5">
        <v>0.7860696517412936</v>
      </c>
      <c r="N45" s="5">
        <v>0.7241948802642445</v>
      </c>
    </row>
    <row r="46" ht="15.75" customHeight="1">
      <c r="C46" s="5">
        <v>0.11936758893280636</v>
      </c>
      <c r="D46" s="5">
        <v>0.1827160493827161</v>
      </c>
      <c r="E46" s="5">
        <v>0.2576985413290114</v>
      </c>
      <c r="F46" s="5">
        <v>0.012288786482334871</v>
      </c>
      <c r="G46" s="5">
        <v>0.07785888077858882</v>
      </c>
      <c r="H46" s="5">
        <v>0.07927786499215074</v>
      </c>
      <c r="I46" s="5">
        <v>0.08647798742138364</v>
      </c>
      <c r="J46" s="5">
        <v>0.05541972290138551</v>
      </c>
      <c r="K46" s="5">
        <v>0.05187549880287312</v>
      </c>
      <c r="L46" s="5">
        <v>0.08530083777608531</v>
      </c>
      <c r="M46" s="5">
        <v>0.13432835820895525</v>
      </c>
      <c r="N46" s="5">
        <v>0.12469033856317097</v>
      </c>
    </row>
    <row r="47" ht="15.75" customHeight="1">
      <c r="C47" s="5">
        <v>0.016600790513833997</v>
      </c>
      <c r="D47" s="5">
        <v>0.017283950617283956</v>
      </c>
      <c r="E47" s="5">
        <v>0.03565640194489465</v>
      </c>
      <c r="F47" s="5">
        <v>0.0</v>
      </c>
      <c r="G47" s="5">
        <v>8.110300081103009E-4</v>
      </c>
      <c r="H47" s="5">
        <v>0.0031397174254317144</v>
      </c>
      <c r="I47" s="5">
        <v>0.0039308176100628965</v>
      </c>
      <c r="J47" s="5">
        <v>0.00570497147514263</v>
      </c>
      <c r="K47" s="5">
        <v>0.0047885075818036756</v>
      </c>
      <c r="L47" s="5">
        <v>0.004569687738004574</v>
      </c>
      <c r="M47" s="5">
        <v>0.00663349917081261</v>
      </c>
      <c r="N47" s="5">
        <v>0.01073492981007433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24:AB30">
    <cfRule type="colorScale" priority="1">
      <colorScale>
        <cfvo type="formula" val="0"/>
        <cfvo type="formula" val="1"/>
        <color rgb="FF000000"/>
        <color rgb="FF4A86E8"/>
      </colorScale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0.101</v>
      </c>
      <c r="D4" s="3">
        <v>0.103</v>
      </c>
      <c r="E4" s="3">
        <v>0.104</v>
      </c>
      <c r="F4" s="3">
        <v>0.101</v>
      </c>
      <c r="G4" s="3">
        <v>0.103</v>
      </c>
      <c r="H4" s="3">
        <v>0.102</v>
      </c>
      <c r="I4" s="3">
        <v>0.105</v>
      </c>
      <c r="J4" s="3">
        <v>0.107</v>
      </c>
      <c r="K4" s="3">
        <v>0.104</v>
      </c>
      <c r="L4" s="3">
        <v>0.102</v>
      </c>
      <c r="M4" s="3">
        <v>0.101</v>
      </c>
      <c r="N4" s="3">
        <v>0.102</v>
      </c>
      <c r="O4" s="4">
        <v>600.0</v>
      </c>
      <c r="P4" s="5">
        <f>average(C4:N4)</f>
        <v>0.1029166667</v>
      </c>
    </row>
    <row r="5">
      <c r="B5" s="2" t="s">
        <v>1</v>
      </c>
      <c r="C5" s="7">
        <v>1.425</v>
      </c>
      <c r="D5" s="7">
        <v>1.409</v>
      </c>
      <c r="E5" s="7">
        <v>1.415</v>
      </c>
      <c r="F5" s="7">
        <v>1.44</v>
      </c>
      <c r="G5" s="7">
        <v>1.42</v>
      </c>
      <c r="H5" s="7">
        <v>1.413</v>
      </c>
      <c r="I5" s="7">
        <v>1.474</v>
      </c>
      <c r="J5" s="7">
        <v>1.408</v>
      </c>
      <c r="K5" s="7">
        <v>1.404</v>
      </c>
      <c r="L5" s="7">
        <v>1.426</v>
      </c>
      <c r="M5" s="7">
        <v>1.386</v>
      </c>
      <c r="N5" s="7">
        <v>1.391</v>
      </c>
      <c r="O5" s="4">
        <v>600.0</v>
      </c>
    </row>
    <row r="6">
      <c r="B6" s="2" t="s">
        <v>2</v>
      </c>
      <c r="C6" s="7">
        <v>1.379</v>
      </c>
      <c r="D6" s="6">
        <v>1.36</v>
      </c>
      <c r="E6" s="7">
        <v>1.384</v>
      </c>
      <c r="F6" s="7">
        <v>1.431</v>
      </c>
      <c r="G6" s="6">
        <v>1.364</v>
      </c>
      <c r="H6" s="6">
        <v>1.35</v>
      </c>
      <c r="I6" s="7">
        <v>1.435</v>
      </c>
      <c r="J6" s="6">
        <v>1.313</v>
      </c>
      <c r="K6" s="6">
        <v>1.321</v>
      </c>
      <c r="L6" s="6">
        <v>1.366</v>
      </c>
      <c r="M6" s="8">
        <v>1.234</v>
      </c>
      <c r="N6" s="8">
        <v>1.232</v>
      </c>
      <c r="O6" s="4">
        <v>600.0</v>
      </c>
    </row>
    <row r="7">
      <c r="B7" s="2" t="s">
        <v>3</v>
      </c>
      <c r="C7" s="6">
        <v>1.315</v>
      </c>
      <c r="D7" s="6">
        <v>1.308</v>
      </c>
      <c r="E7" s="6">
        <v>1.334</v>
      </c>
      <c r="F7" s="6">
        <v>1.371</v>
      </c>
      <c r="G7" s="6">
        <v>1.285</v>
      </c>
      <c r="H7" s="8">
        <v>1.267</v>
      </c>
      <c r="I7" s="6">
        <v>1.352</v>
      </c>
      <c r="J7" s="8">
        <v>1.278</v>
      </c>
      <c r="K7" s="8">
        <v>1.262</v>
      </c>
      <c r="L7" s="6">
        <v>1.352</v>
      </c>
      <c r="M7" s="8">
        <v>1.204</v>
      </c>
      <c r="N7" s="9">
        <v>1.165</v>
      </c>
      <c r="O7" s="4">
        <v>600.0</v>
      </c>
    </row>
    <row r="8">
      <c r="B8" s="2" t="s">
        <v>4</v>
      </c>
      <c r="C8" s="10">
        <v>0.958</v>
      </c>
      <c r="D8" s="12">
        <v>1.023</v>
      </c>
      <c r="E8" s="8">
        <v>1.221</v>
      </c>
      <c r="F8" s="11">
        <v>0.659</v>
      </c>
      <c r="G8" s="8">
        <v>1.232</v>
      </c>
      <c r="H8" s="8">
        <v>1.214</v>
      </c>
      <c r="I8" s="8">
        <v>1.265</v>
      </c>
      <c r="J8" s="8">
        <v>1.197</v>
      </c>
      <c r="K8" s="8">
        <v>1.181</v>
      </c>
      <c r="L8" s="6">
        <v>1.31</v>
      </c>
      <c r="M8" s="9">
        <v>1.16</v>
      </c>
      <c r="N8" s="9">
        <v>1.119</v>
      </c>
      <c r="O8" s="4">
        <v>600.0</v>
      </c>
    </row>
    <row r="9">
      <c r="B9" s="2" t="s">
        <v>5</v>
      </c>
      <c r="C9" s="13">
        <v>0.457</v>
      </c>
      <c r="D9" s="11">
        <v>0.614</v>
      </c>
      <c r="E9" s="14">
        <v>0.774</v>
      </c>
      <c r="F9" s="3">
        <v>0.178</v>
      </c>
      <c r="G9" s="15">
        <v>0.245</v>
      </c>
      <c r="H9" s="15">
        <v>0.232</v>
      </c>
      <c r="I9" s="16">
        <v>0.376</v>
      </c>
      <c r="J9" s="11">
        <v>0.68</v>
      </c>
      <c r="K9" s="14">
        <v>0.738</v>
      </c>
      <c r="L9" s="14">
        <v>0.708</v>
      </c>
      <c r="M9" s="12">
        <v>1.053</v>
      </c>
      <c r="N9" s="12">
        <v>1.0</v>
      </c>
      <c r="O9" s="4">
        <v>600.0</v>
      </c>
    </row>
    <row r="10">
      <c r="B10" s="2" t="s">
        <v>6</v>
      </c>
      <c r="C10" s="15">
        <v>0.217</v>
      </c>
      <c r="D10" s="15">
        <v>0.271</v>
      </c>
      <c r="E10" s="16">
        <v>0.342</v>
      </c>
      <c r="F10" s="3">
        <v>0.109</v>
      </c>
      <c r="G10" s="3">
        <v>0.112</v>
      </c>
      <c r="H10" s="3">
        <v>0.11</v>
      </c>
      <c r="I10" s="3">
        <v>0.134</v>
      </c>
      <c r="J10" s="3">
        <v>0.141</v>
      </c>
      <c r="K10" s="3">
        <v>0.159</v>
      </c>
      <c r="L10" s="15">
        <v>0.212</v>
      </c>
      <c r="M10" s="15">
        <v>0.254</v>
      </c>
      <c r="N10" s="15">
        <v>0.241</v>
      </c>
      <c r="O10" s="4">
        <v>600.0</v>
      </c>
    </row>
    <row r="11">
      <c r="B11" s="2" t="s">
        <v>7</v>
      </c>
      <c r="C11" s="3">
        <v>0.119</v>
      </c>
      <c r="D11" s="3">
        <v>0.122</v>
      </c>
      <c r="E11" s="3">
        <v>0.135</v>
      </c>
      <c r="F11" s="3">
        <v>0.102</v>
      </c>
      <c r="G11" s="3">
        <v>0.103</v>
      </c>
      <c r="H11" s="3">
        <v>0.102</v>
      </c>
      <c r="I11" s="3">
        <v>0.113</v>
      </c>
      <c r="J11" s="3">
        <v>0.109</v>
      </c>
      <c r="K11" s="3">
        <v>0.112</v>
      </c>
      <c r="L11" s="3">
        <v>0.117</v>
      </c>
      <c r="M11" s="3">
        <v>0.115</v>
      </c>
      <c r="N11" s="3">
        <v>0.115</v>
      </c>
      <c r="O11" s="4">
        <v>600.0</v>
      </c>
    </row>
    <row r="14">
      <c r="C14" s="5">
        <f t="shared" ref="C14:N14" si="1">C5-$P$4</f>
        <v>1.322083333</v>
      </c>
      <c r="D14" s="5">
        <f t="shared" si="1"/>
        <v>1.306083333</v>
      </c>
      <c r="E14" s="5">
        <f t="shared" si="1"/>
        <v>1.312083333</v>
      </c>
      <c r="F14" s="5">
        <f t="shared" si="1"/>
        <v>1.337083333</v>
      </c>
      <c r="G14" s="5">
        <f t="shared" si="1"/>
        <v>1.317083333</v>
      </c>
      <c r="H14" s="5">
        <f t="shared" si="1"/>
        <v>1.310083333</v>
      </c>
      <c r="I14" s="5">
        <f t="shared" si="1"/>
        <v>1.371083333</v>
      </c>
      <c r="J14" s="5">
        <f t="shared" si="1"/>
        <v>1.305083333</v>
      </c>
      <c r="K14" s="5">
        <f t="shared" si="1"/>
        <v>1.301083333</v>
      </c>
      <c r="L14" s="5">
        <f t="shared" si="1"/>
        <v>1.323083333</v>
      </c>
      <c r="M14" s="5">
        <f t="shared" si="1"/>
        <v>1.283083333</v>
      </c>
      <c r="N14" s="5">
        <f t="shared" si="1"/>
        <v>1.288083333</v>
      </c>
    </row>
    <row r="15">
      <c r="C15" s="5">
        <f t="shared" ref="C15:N15" si="2">C6-$P$4</f>
        <v>1.276083333</v>
      </c>
      <c r="D15" s="5">
        <f t="shared" si="2"/>
        <v>1.257083333</v>
      </c>
      <c r="E15" s="5">
        <f t="shared" si="2"/>
        <v>1.281083333</v>
      </c>
      <c r="F15" s="5">
        <f t="shared" si="2"/>
        <v>1.328083333</v>
      </c>
      <c r="G15" s="5">
        <f t="shared" si="2"/>
        <v>1.261083333</v>
      </c>
      <c r="H15" s="5">
        <f t="shared" si="2"/>
        <v>1.247083333</v>
      </c>
      <c r="I15" s="5">
        <f t="shared" si="2"/>
        <v>1.332083333</v>
      </c>
      <c r="J15" s="5">
        <f t="shared" si="2"/>
        <v>1.210083333</v>
      </c>
      <c r="K15" s="5">
        <f t="shared" si="2"/>
        <v>1.218083333</v>
      </c>
      <c r="L15" s="5">
        <f t="shared" si="2"/>
        <v>1.263083333</v>
      </c>
      <c r="M15" s="5">
        <f t="shared" si="2"/>
        <v>1.131083333</v>
      </c>
      <c r="N15" s="5">
        <f t="shared" si="2"/>
        <v>1.129083333</v>
      </c>
    </row>
    <row r="16">
      <c r="C16" s="5">
        <f t="shared" ref="C16:N16" si="3">C7-$P$4</f>
        <v>1.212083333</v>
      </c>
      <c r="D16" s="5">
        <f t="shared" si="3"/>
        <v>1.205083333</v>
      </c>
      <c r="E16" s="5">
        <f t="shared" si="3"/>
        <v>1.231083333</v>
      </c>
      <c r="F16" s="5">
        <f t="shared" si="3"/>
        <v>1.268083333</v>
      </c>
      <c r="G16" s="5">
        <f t="shared" si="3"/>
        <v>1.182083333</v>
      </c>
      <c r="H16" s="5">
        <f t="shared" si="3"/>
        <v>1.164083333</v>
      </c>
      <c r="I16" s="5">
        <f t="shared" si="3"/>
        <v>1.249083333</v>
      </c>
      <c r="J16" s="5">
        <f t="shared" si="3"/>
        <v>1.175083333</v>
      </c>
      <c r="K16" s="5">
        <f t="shared" si="3"/>
        <v>1.159083333</v>
      </c>
      <c r="L16" s="5">
        <f t="shared" si="3"/>
        <v>1.249083333</v>
      </c>
      <c r="M16" s="5">
        <f t="shared" si="3"/>
        <v>1.101083333</v>
      </c>
      <c r="N16" s="5">
        <f t="shared" si="3"/>
        <v>1.062083333</v>
      </c>
    </row>
    <row r="17">
      <c r="C17" s="5">
        <f t="shared" ref="C17:N17" si="4">C8-$P$4</f>
        <v>0.8550833333</v>
      </c>
      <c r="D17" s="5">
        <f t="shared" si="4"/>
        <v>0.9200833333</v>
      </c>
      <c r="E17" s="5">
        <f t="shared" si="4"/>
        <v>1.118083333</v>
      </c>
      <c r="F17" s="5">
        <f t="shared" si="4"/>
        <v>0.5560833333</v>
      </c>
      <c r="G17" s="5">
        <f t="shared" si="4"/>
        <v>1.129083333</v>
      </c>
      <c r="H17" s="5">
        <f t="shared" si="4"/>
        <v>1.111083333</v>
      </c>
      <c r="I17" s="5">
        <f t="shared" si="4"/>
        <v>1.162083333</v>
      </c>
      <c r="J17" s="5">
        <f t="shared" si="4"/>
        <v>1.094083333</v>
      </c>
      <c r="K17" s="5">
        <f t="shared" si="4"/>
        <v>1.078083333</v>
      </c>
      <c r="L17" s="5">
        <f t="shared" si="4"/>
        <v>1.207083333</v>
      </c>
      <c r="M17" s="5">
        <f t="shared" si="4"/>
        <v>1.057083333</v>
      </c>
      <c r="N17" s="5">
        <f t="shared" si="4"/>
        <v>1.016083333</v>
      </c>
    </row>
    <row r="18">
      <c r="C18" s="5">
        <f t="shared" ref="C18:N18" si="5">C9-$P$4</f>
        <v>0.3540833333</v>
      </c>
      <c r="D18" s="5">
        <f t="shared" si="5"/>
        <v>0.5110833333</v>
      </c>
      <c r="E18" s="5">
        <f t="shared" si="5"/>
        <v>0.6710833333</v>
      </c>
      <c r="F18" s="5">
        <f t="shared" si="5"/>
        <v>0.07508333333</v>
      </c>
      <c r="G18" s="5">
        <f t="shared" si="5"/>
        <v>0.1420833333</v>
      </c>
      <c r="H18" s="5">
        <f t="shared" si="5"/>
        <v>0.1290833333</v>
      </c>
      <c r="I18" s="5">
        <f t="shared" si="5"/>
        <v>0.2730833333</v>
      </c>
      <c r="J18" s="5">
        <f t="shared" si="5"/>
        <v>0.5770833333</v>
      </c>
      <c r="K18" s="5">
        <f t="shared" si="5"/>
        <v>0.6350833333</v>
      </c>
      <c r="L18" s="5">
        <f t="shared" si="5"/>
        <v>0.6050833333</v>
      </c>
      <c r="M18" s="5">
        <f t="shared" si="5"/>
        <v>0.9500833333</v>
      </c>
      <c r="N18" s="5">
        <f t="shared" si="5"/>
        <v>0.8970833333</v>
      </c>
    </row>
    <row r="19">
      <c r="C19" s="5">
        <f t="shared" ref="C19:N19" si="6">C10-$P$4</f>
        <v>0.1140833333</v>
      </c>
      <c r="D19" s="5">
        <f t="shared" si="6"/>
        <v>0.1680833333</v>
      </c>
      <c r="E19" s="5">
        <f t="shared" si="6"/>
        <v>0.2390833333</v>
      </c>
      <c r="F19" s="5">
        <f t="shared" si="6"/>
        <v>0.006083333333</v>
      </c>
      <c r="G19" s="5">
        <f t="shared" si="6"/>
        <v>0.009083333333</v>
      </c>
      <c r="H19" s="5">
        <f t="shared" si="6"/>
        <v>0.007083333333</v>
      </c>
      <c r="I19" s="5">
        <f t="shared" si="6"/>
        <v>0.03108333333</v>
      </c>
      <c r="J19" s="5">
        <f t="shared" si="6"/>
        <v>0.03808333333</v>
      </c>
      <c r="K19" s="5">
        <f t="shared" si="6"/>
        <v>0.05608333333</v>
      </c>
      <c r="L19" s="5">
        <f t="shared" si="6"/>
        <v>0.1090833333</v>
      </c>
      <c r="M19" s="5">
        <f t="shared" si="6"/>
        <v>0.1510833333</v>
      </c>
      <c r="N19" s="5">
        <f t="shared" si="6"/>
        <v>0.1380833333</v>
      </c>
    </row>
    <row r="20">
      <c r="C20" s="5">
        <f t="shared" ref="C20:N20" si="7">C11-$P$4</f>
        <v>0.01608333333</v>
      </c>
      <c r="D20" s="5">
        <f t="shared" si="7"/>
        <v>0.01908333333</v>
      </c>
      <c r="E20" s="5">
        <f t="shared" si="7"/>
        <v>0.03208333333</v>
      </c>
      <c r="F20" s="5">
        <f t="shared" si="7"/>
        <v>-0.0009166666667</v>
      </c>
      <c r="G20" s="5">
        <f t="shared" si="7"/>
        <v>0.00008333333333</v>
      </c>
      <c r="H20" s="5">
        <f t="shared" si="7"/>
        <v>-0.0009166666667</v>
      </c>
      <c r="I20" s="5">
        <f t="shared" si="7"/>
        <v>0.01008333333</v>
      </c>
      <c r="J20" s="5">
        <f t="shared" si="7"/>
        <v>0.006083333333</v>
      </c>
      <c r="K20" s="5">
        <f t="shared" si="7"/>
        <v>0.009083333333</v>
      </c>
      <c r="L20" s="5">
        <f t="shared" si="7"/>
        <v>0.01408333333</v>
      </c>
      <c r="M20" s="5">
        <f t="shared" si="7"/>
        <v>0.01208333333</v>
      </c>
      <c r="N20" s="5">
        <f t="shared" si="7"/>
        <v>0.01208333333</v>
      </c>
    </row>
    <row r="21" ht="15.75" customHeight="1"/>
    <row r="22" ht="15.75" customHeight="1"/>
    <row r="23" ht="15.75" customHeight="1">
      <c r="C23" s="5">
        <f t="shared" ref="C23:C29" si="8">C14/$C$14</f>
        <v>1</v>
      </c>
      <c r="D23" s="5">
        <f t="shared" ref="D23:D29" si="9">D14/$D$14</f>
        <v>1</v>
      </c>
      <c r="E23" s="5">
        <f t="shared" ref="E23:E29" si="10">E14/$E$14</f>
        <v>1</v>
      </c>
      <c r="F23" s="5">
        <f t="shared" ref="F23:F29" si="11">F14/$F$14</f>
        <v>1</v>
      </c>
      <c r="G23" s="5">
        <f t="shared" ref="G23:G29" si="12">G14/$G$14</f>
        <v>1</v>
      </c>
      <c r="H23" s="5">
        <f t="shared" ref="H23:H29" si="13">H14/$H$14</f>
        <v>1</v>
      </c>
      <c r="I23" s="5">
        <f t="shared" ref="I23:I29" si="14">I14/$I$14</f>
        <v>1</v>
      </c>
      <c r="J23" s="5">
        <f t="shared" ref="J23:J29" si="15">J14/$J$14</f>
        <v>1</v>
      </c>
      <c r="K23" s="5">
        <f t="shared" ref="K23:K29" si="16">K14/$K$14</f>
        <v>1</v>
      </c>
      <c r="L23" s="5">
        <f t="shared" ref="L23:L29" si="17">L14/$L$14</f>
        <v>1</v>
      </c>
      <c r="M23" s="5">
        <f t="shared" ref="M23:M29" si="18">M14/$M$14</f>
        <v>1</v>
      </c>
      <c r="N23" s="5">
        <f t="shared" ref="N23:N29" si="19">N14/$N$14</f>
        <v>1</v>
      </c>
    </row>
    <row r="24" ht="15.75" customHeight="1">
      <c r="C24" s="5">
        <f t="shared" si="8"/>
        <v>0.9652064292</v>
      </c>
      <c r="D24" s="5">
        <f t="shared" si="9"/>
        <v>0.9624832515</v>
      </c>
      <c r="E24" s="5">
        <f t="shared" si="10"/>
        <v>0.9763734519</v>
      </c>
      <c r="F24" s="5">
        <f t="shared" si="11"/>
        <v>0.9932689311</v>
      </c>
      <c r="G24" s="5">
        <f t="shared" si="12"/>
        <v>0.9574818096</v>
      </c>
      <c r="H24" s="5">
        <f t="shared" si="13"/>
        <v>0.951911456</v>
      </c>
      <c r="I24" s="5">
        <f t="shared" si="14"/>
        <v>0.9715553395</v>
      </c>
      <c r="J24" s="5">
        <f t="shared" si="15"/>
        <v>0.9272077134</v>
      </c>
      <c r="K24" s="5">
        <f t="shared" si="16"/>
        <v>0.936207007</v>
      </c>
      <c r="L24" s="5">
        <f t="shared" si="17"/>
        <v>0.9546513825</v>
      </c>
      <c r="M24" s="5">
        <f t="shared" si="18"/>
        <v>0.881535364</v>
      </c>
      <c r="N24" s="5">
        <f t="shared" si="19"/>
        <v>0.8765607815</v>
      </c>
    </row>
    <row r="25" ht="15.75" customHeight="1">
      <c r="C25" s="5">
        <f t="shared" si="8"/>
        <v>0.916797983</v>
      </c>
      <c r="D25" s="5">
        <f t="shared" si="9"/>
        <v>0.9226695591</v>
      </c>
      <c r="E25" s="5">
        <f t="shared" si="10"/>
        <v>0.9382661162</v>
      </c>
      <c r="F25" s="5">
        <f t="shared" si="11"/>
        <v>0.9483951387</v>
      </c>
      <c r="G25" s="5">
        <f t="shared" si="12"/>
        <v>0.8975007909</v>
      </c>
      <c r="H25" s="5">
        <f t="shared" si="13"/>
        <v>0.8885567076</v>
      </c>
      <c r="I25" s="5">
        <f t="shared" si="14"/>
        <v>0.911019267</v>
      </c>
      <c r="J25" s="5">
        <f t="shared" si="15"/>
        <v>0.9003895026</v>
      </c>
      <c r="K25" s="5">
        <f t="shared" si="16"/>
        <v>0.8908601806</v>
      </c>
      <c r="L25" s="5">
        <f t="shared" si="17"/>
        <v>0.9440700384</v>
      </c>
      <c r="M25" s="5">
        <f t="shared" si="18"/>
        <v>0.8581541859</v>
      </c>
      <c r="N25" s="5">
        <f t="shared" si="19"/>
        <v>0.8245455134</v>
      </c>
    </row>
    <row r="26" ht="15.75" customHeight="1">
      <c r="C26" s="5">
        <f t="shared" si="8"/>
        <v>0.6467696187</v>
      </c>
      <c r="D26" s="5">
        <f t="shared" si="9"/>
        <v>0.7044598992</v>
      </c>
      <c r="E26" s="5">
        <f t="shared" si="10"/>
        <v>0.8521435376</v>
      </c>
      <c r="F26" s="5">
        <f t="shared" si="11"/>
        <v>0.4158928015</v>
      </c>
      <c r="G26" s="5">
        <f t="shared" si="12"/>
        <v>0.8572603606</v>
      </c>
      <c r="H26" s="5">
        <f t="shared" si="13"/>
        <v>0.8481012658</v>
      </c>
      <c r="I26" s="5">
        <f t="shared" si="14"/>
        <v>0.8475657935</v>
      </c>
      <c r="J26" s="5">
        <f t="shared" si="15"/>
        <v>0.8383245004</v>
      </c>
      <c r="K26" s="5">
        <f t="shared" si="16"/>
        <v>0.8286043682</v>
      </c>
      <c r="L26" s="5">
        <f t="shared" si="17"/>
        <v>0.9123260062</v>
      </c>
      <c r="M26" s="5">
        <f t="shared" si="18"/>
        <v>0.8238617913</v>
      </c>
      <c r="N26" s="5">
        <f t="shared" si="19"/>
        <v>0.7888335382</v>
      </c>
    </row>
    <row r="27" ht="15.75" customHeight="1">
      <c r="C27" s="5">
        <f t="shared" si="8"/>
        <v>0.2678222502</v>
      </c>
      <c r="D27" s="5">
        <f t="shared" si="9"/>
        <v>0.391309896</v>
      </c>
      <c r="E27" s="5">
        <f t="shared" si="10"/>
        <v>0.5114639568</v>
      </c>
      <c r="F27" s="5">
        <f t="shared" si="11"/>
        <v>0.05615456529</v>
      </c>
      <c r="G27" s="5">
        <f t="shared" si="12"/>
        <v>0.107877254</v>
      </c>
      <c r="H27" s="5">
        <f t="shared" si="13"/>
        <v>0.09853062782</v>
      </c>
      <c r="I27" s="5">
        <f t="shared" si="14"/>
        <v>0.199173403</v>
      </c>
      <c r="J27" s="5">
        <f t="shared" si="15"/>
        <v>0.4421812145</v>
      </c>
      <c r="K27" s="5">
        <f t="shared" si="16"/>
        <v>0.4881188753</v>
      </c>
      <c r="L27" s="5">
        <f t="shared" si="17"/>
        <v>0.4573282106</v>
      </c>
      <c r="M27" s="5">
        <f t="shared" si="18"/>
        <v>0.7404689225</v>
      </c>
      <c r="N27" s="5">
        <f t="shared" si="19"/>
        <v>0.6964482112</v>
      </c>
    </row>
    <row r="28" ht="15.75" customHeight="1">
      <c r="C28" s="5">
        <f t="shared" si="8"/>
        <v>0.08629057674</v>
      </c>
      <c r="D28" s="5">
        <f t="shared" si="9"/>
        <v>0.1286926562</v>
      </c>
      <c r="E28" s="5">
        <f t="shared" si="10"/>
        <v>0.1822165767</v>
      </c>
      <c r="F28" s="5">
        <f t="shared" si="11"/>
        <v>0.004549703958</v>
      </c>
      <c r="G28" s="5">
        <f t="shared" si="12"/>
        <v>0.006896551724</v>
      </c>
      <c r="H28" s="5">
        <f t="shared" si="13"/>
        <v>0.005406780739</v>
      </c>
      <c r="I28" s="5">
        <f t="shared" si="14"/>
        <v>0.02267063757</v>
      </c>
      <c r="J28" s="5">
        <f t="shared" si="15"/>
        <v>0.02918076751</v>
      </c>
      <c r="K28" s="5">
        <f t="shared" si="16"/>
        <v>0.04310510472</v>
      </c>
      <c r="L28" s="5">
        <f t="shared" si="17"/>
        <v>0.08244630598</v>
      </c>
      <c r="M28" s="5">
        <f t="shared" si="18"/>
        <v>0.1177502111</v>
      </c>
      <c r="N28" s="5">
        <f t="shared" si="19"/>
        <v>0.1072006211</v>
      </c>
    </row>
    <row r="29" ht="15.75" customHeight="1">
      <c r="C29" s="5">
        <f t="shared" si="8"/>
        <v>0.0121651434</v>
      </c>
      <c r="D29" s="5">
        <f t="shared" si="9"/>
        <v>0.01461111466</v>
      </c>
      <c r="E29" s="5">
        <f t="shared" si="10"/>
        <v>0.02445220705</v>
      </c>
      <c r="F29" s="5">
        <f t="shared" si="11"/>
        <v>-0.0006855718292</v>
      </c>
      <c r="G29" s="5">
        <f t="shared" si="12"/>
        <v>0.00006327111674</v>
      </c>
      <c r="H29" s="5">
        <f t="shared" si="13"/>
        <v>-0.0006997010368</v>
      </c>
      <c r="I29" s="5">
        <f t="shared" si="14"/>
        <v>0.007354281894</v>
      </c>
      <c r="J29" s="5">
        <f t="shared" si="15"/>
        <v>0.004661260456</v>
      </c>
      <c r="K29" s="5">
        <f t="shared" si="16"/>
        <v>0.006981361686</v>
      </c>
      <c r="L29" s="5">
        <f t="shared" si="17"/>
        <v>0.01064432827</v>
      </c>
      <c r="M29" s="5">
        <f t="shared" si="18"/>
        <v>0.009417418978</v>
      </c>
      <c r="N29" s="5">
        <f t="shared" si="19"/>
        <v>0.009380863039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"/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B4" s="2" t="s">
        <v>0</v>
      </c>
      <c r="C4" s="3">
        <v>0.102</v>
      </c>
      <c r="D4" s="3">
        <v>0.104</v>
      </c>
      <c r="E4" s="3">
        <v>0.103</v>
      </c>
      <c r="F4" s="3">
        <v>0.1</v>
      </c>
      <c r="G4" s="3">
        <v>0.102</v>
      </c>
      <c r="H4" s="3">
        <v>0.106</v>
      </c>
      <c r="I4" s="3">
        <v>0.093</v>
      </c>
      <c r="J4" s="3">
        <v>0.104</v>
      </c>
      <c r="K4" s="3">
        <v>0.102</v>
      </c>
      <c r="L4" s="3">
        <v>0.103</v>
      </c>
      <c r="M4" s="3">
        <v>0.102</v>
      </c>
      <c r="N4" s="3">
        <v>0.103</v>
      </c>
      <c r="O4" s="4">
        <v>600.0</v>
      </c>
      <c r="P4" s="5">
        <f>average(C4:N4)</f>
        <v>0.102</v>
      </c>
    </row>
    <row r="5">
      <c r="B5" s="2" t="s">
        <v>1</v>
      </c>
      <c r="C5" s="7">
        <v>1.367</v>
      </c>
      <c r="D5" s="6">
        <v>1.317</v>
      </c>
      <c r="E5" s="7">
        <v>1.336</v>
      </c>
      <c r="F5" s="7">
        <v>1.404</v>
      </c>
      <c r="G5" s="7">
        <v>1.335</v>
      </c>
      <c r="H5" s="7">
        <v>1.376</v>
      </c>
      <c r="I5" s="7">
        <v>1.374</v>
      </c>
      <c r="J5" s="7">
        <v>1.329</v>
      </c>
      <c r="K5" s="7">
        <v>1.355</v>
      </c>
      <c r="L5" s="7">
        <v>1.415</v>
      </c>
      <c r="M5" s="6">
        <v>1.308</v>
      </c>
      <c r="N5" s="6">
        <v>1.313</v>
      </c>
      <c r="O5" s="4">
        <v>600.0</v>
      </c>
    </row>
    <row r="6">
      <c r="B6" s="2" t="s">
        <v>2</v>
      </c>
      <c r="C6" s="7">
        <v>1.373</v>
      </c>
      <c r="D6" s="7">
        <v>1.327</v>
      </c>
      <c r="E6" s="6">
        <v>1.318</v>
      </c>
      <c r="F6" s="7">
        <v>1.391</v>
      </c>
      <c r="G6" s="7">
        <v>1.344</v>
      </c>
      <c r="H6" s="7">
        <v>1.331</v>
      </c>
      <c r="I6" s="7">
        <v>1.409</v>
      </c>
      <c r="J6" s="6">
        <v>1.319</v>
      </c>
      <c r="K6" s="6">
        <v>1.32</v>
      </c>
      <c r="L6" s="7">
        <v>1.384</v>
      </c>
      <c r="M6" s="6">
        <v>1.284</v>
      </c>
      <c r="N6" s="6">
        <v>1.278</v>
      </c>
      <c r="O6" s="4">
        <v>600.0</v>
      </c>
    </row>
    <row r="7">
      <c r="B7" s="2" t="s">
        <v>3</v>
      </c>
      <c r="C7" s="7">
        <v>1.334</v>
      </c>
      <c r="D7" s="6">
        <v>1.281</v>
      </c>
      <c r="E7" s="6">
        <v>1.287</v>
      </c>
      <c r="F7" s="7">
        <v>1.354</v>
      </c>
      <c r="G7" s="6">
        <v>1.273</v>
      </c>
      <c r="H7" s="6">
        <v>1.263</v>
      </c>
      <c r="I7" s="7">
        <v>1.349</v>
      </c>
      <c r="J7" s="6">
        <v>1.277</v>
      </c>
      <c r="K7" s="6">
        <v>1.282</v>
      </c>
      <c r="L7" s="7">
        <v>1.353</v>
      </c>
      <c r="M7" s="8">
        <v>1.218</v>
      </c>
      <c r="N7" s="8">
        <v>1.214</v>
      </c>
      <c r="O7" s="4">
        <v>600.0</v>
      </c>
    </row>
    <row r="8">
      <c r="B8" s="2" t="s">
        <v>4</v>
      </c>
      <c r="C8" s="12">
        <v>0.969</v>
      </c>
      <c r="D8" s="9">
        <v>1.056</v>
      </c>
      <c r="E8" s="8">
        <v>1.207</v>
      </c>
      <c r="F8" s="11">
        <v>0.635</v>
      </c>
      <c r="G8" s="6">
        <v>1.232</v>
      </c>
      <c r="H8" s="8">
        <v>1.197</v>
      </c>
      <c r="I8" s="6">
        <v>1.272</v>
      </c>
      <c r="J8" s="8">
        <v>1.204</v>
      </c>
      <c r="K8" s="8">
        <v>1.195</v>
      </c>
      <c r="L8" s="6">
        <v>1.304</v>
      </c>
      <c r="M8" s="8">
        <v>1.223</v>
      </c>
      <c r="N8" s="9">
        <v>1.119</v>
      </c>
      <c r="O8" s="4">
        <v>600.0</v>
      </c>
    </row>
    <row r="9">
      <c r="B9" s="2" t="s">
        <v>5</v>
      </c>
      <c r="C9" s="21">
        <v>0.476</v>
      </c>
      <c r="D9" s="11">
        <v>0.633</v>
      </c>
      <c r="E9" s="14">
        <v>0.733</v>
      </c>
      <c r="F9" s="15">
        <v>0.209</v>
      </c>
      <c r="G9" s="16">
        <v>0.313</v>
      </c>
      <c r="H9" s="16">
        <v>0.352</v>
      </c>
      <c r="I9" s="13">
        <v>0.418</v>
      </c>
      <c r="J9" s="14">
        <v>0.715</v>
      </c>
      <c r="K9" s="22">
        <v>0.764</v>
      </c>
      <c r="L9" s="11">
        <v>0.644</v>
      </c>
      <c r="M9" s="9">
        <v>1.05</v>
      </c>
      <c r="N9" s="12">
        <v>0.979</v>
      </c>
      <c r="O9" s="4">
        <v>600.0</v>
      </c>
    </row>
    <row r="10">
      <c r="B10" s="2" t="s">
        <v>6</v>
      </c>
      <c r="C10" s="15">
        <v>0.253</v>
      </c>
      <c r="D10" s="16">
        <v>0.324</v>
      </c>
      <c r="E10" s="13">
        <v>0.42</v>
      </c>
      <c r="F10" s="3">
        <v>0.118</v>
      </c>
      <c r="G10" s="15">
        <v>0.198</v>
      </c>
      <c r="H10" s="15">
        <v>0.203</v>
      </c>
      <c r="I10" s="15">
        <v>0.212</v>
      </c>
      <c r="J10" s="3">
        <v>0.17</v>
      </c>
      <c r="K10" s="3">
        <v>0.167</v>
      </c>
      <c r="L10" s="15">
        <v>0.214</v>
      </c>
      <c r="M10" s="15">
        <v>0.264</v>
      </c>
      <c r="N10" s="15">
        <v>0.253</v>
      </c>
      <c r="O10" s="4">
        <v>600.0</v>
      </c>
    </row>
    <row r="11">
      <c r="B11" s="2" t="s">
        <v>7</v>
      </c>
      <c r="C11" s="3">
        <v>0.123</v>
      </c>
      <c r="D11" s="3">
        <v>0.123</v>
      </c>
      <c r="E11" s="3">
        <v>0.146</v>
      </c>
      <c r="F11" s="3">
        <v>0.102</v>
      </c>
      <c r="G11" s="3">
        <v>0.103</v>
      </c>
      <c r="H11" s="3">
        <v>0.106</v>
      </c>
      <c r="I11" s="3">
        <v>0.107</v>
      </c>
      <c r="J11" s="3">
        <v>0.109</v>
      </c>
      <c r="K11" s="3">
        <v>0.108</v>
      </c>
      <c r="L11" s="3">
        <v>0.108</v>
      </c>
      <c r="M11" s="3">
        <v>0.11</v>
      </c>
      <c r="N11" s="3">
        <v>0.115</v>
      </c>
      <c r="O11" s="4">
        <v>600.0</v>
      </c>
    </row>
    <row r="14">
      <c r="C14" s="5">
        <f t="shared" ref="C14:N14" si="1">C5-$P$4</f>
        <v>1.265</v>
      </c>
      <c r="D14" s="5">
        <f t="shared" si="1"/>
        <v>1.215</v>
      </c>
      <c r="E14" s="5">
        <f t="shared" si="1"/>
        <v>1.234</v>
      </c>
      <c r="F14" s="5">
        <f t="shared" si="1"/>
        <v>1.302</v>
      </c>
      <c r="G14" s="5">
        <f t="shared" si="1"/>
        <v>1.233</v>
      </c>
      <c r="H14" s="5">
        <f t="shared" si="1"/>
        <v>1.274</v>
      </c>
      <c r="I14" s="5">
        <f t="shared" si="1"/>
        <v>1.272</v>
      </c>
      <c r="J14" s="5">
        <f t="shared" si="1"/>
        <v>1.227</v>
      </c>
      <c r="K14" s="5">
        <f t="shared" si="1"/>
        <v>1.253</v>
      </c>
      <c r="L14" s="5">
        <f t="shared" si="1"/>
        <v>1.313</v>
      </c>
      <c r="M14" s="5">
        <f t="shared" si="1"/>
        <v>1.206</v>
      </c>
      <c r="N14" s="5">
        <f t="shared" si="1"/>
        <v>1.211</v>
      </c>
    </row>
    <row r="15">
      <c r="C15" s="5">
        <f t="shared" ref="C15:N15" si="2">C6-$P$4</f>
        <v>1.271</v>
      </c>
      <c r="D15" s="5">
        <f t="shared" si="2"/>
        <v>1.225</v>
      </c>
      <c r="E15" s="5">
        <f t="shared" si="2"/>
        <v>1.216</v>
      </c>
      <c r="F15" s="5">
        <f t="shared" si="2"/>
        <v>1.289</v>
      </c>
      <c r="G15" s="5">
        <f t="shared" si="2"/>
        <v>1.242</v>
      </c>
      <c r="H15" s="5">
        <f t="shared" si="2"/>
        <v>1.229</v>
      </c>
      <c r="I15" s="5">
        <f t="shared" si="2"/>
        <v>1.307</v>
      </c>
      <c r="J15" s="5">
        <f t="shared" si="2"/>
        <v>1.217</v>
      </c>
      <c r="K15" s="5">
        <f t="shared" si="2"/>
        <v>1.218</v>
      </c>
      <c r="L15" s="5">
        <f t="shared" si="2"/>
        <v>1.282</v>
      </c>
      <c r="M15" s="5">
        <f t="shared" si="2"/>
        <v>1.182</v>
      </c>
      <c r="N15" s="5">
        <f t="shared" si="2"/>
        <v>1.176</v>
      </c>
    </row>
    <row r="16">
      <c r="C16" s="5">
        <f t="shared" ref="C16:N16" si="3">C7-$P$4</f>
        <v>1.232</v>
      </c>
      <c r="D16" s="5">
        <f t="shared" si="3"/>
        <v>1.179</v>
      </c>
      <c r="E16" s="5">
        <f t="shared" si="3"/>
        <v>1.185</v>
      </c>
      <c r="F16" s="5">
        <f t="shared" si="3"/>
        <v>1.252</v>
      </c>
      <c r="G16" s="5">
        <f t="shared" si="3"/>
        <v>1.171</v>
      </c>
      <c r="H16" s="5">
        <f t="shared" si="3"/>
        <v>1.161</v>
      </c>
      <c r="I16" s="5">
        <f t="shared" si="3"/>
        <v>1.247</v>
      </c>
      <c r="J16" s="5">
        <f t="shared" si="3"/>
        <v>1.175</v>
      </c>
      <c r="K16" s="5">
        <f t="shared" si="3"/>
        <v>1.18</v>
      </c>
      <c r="L16" s="5">
        <f t="shared" si="3"/>
        <v>1.251</v>
      </c>
      <c r="M16" s="5">
        <f t="shared" si="3"/>
        <v>1.116</v>
      </c>
      <c r="N16" s="5">
        <f t="shared" si="3"/>
        <v>1.112</v>
      </c>
    </row>
    <row r="17">
      <c r="C17" s="5">
        <f t="shared" ref="C17:N17" si="4">C8-$P$4</f>
        <v>0.867</v>
      </c>
      <c r="D17" s="5">
        <f t="shared" si="4"/>
        <v>0.954</v>
      </c>
      <c r="E17" s="5">
        <f t="shared" si="4"/>
        <v>1.105</v>
      </c>
      <c r="F17" s="5">
        <f t="shared" si="4"/>
        <v>0.533</v>
      </c>
      <c r="G17" s="5">
        <f t="shared" si="4"/>
        <v>1.13</v>
      </c>
      <c r="H17" s="5">
        <f t="shared" si="4"/>
        <v>1.095</v>
      </c>
      <c r="I17" s="5">
        <f t="shared" si="4"/>
        <v>1.17</v>
      </c>
      <c r="J17" s="5">
        <f t="shared" si="4"/>
        <v>1.102</v>
      </c>
      <c r="K17" s="5">
        <f t="shared" si="4"/>
        <v>1.093</v>
      </c>
      <c r="L17" s="5">
        <f t="shared" si="4"/>
        <v>1.202</v>
      </c>
      <c r="M17" s="5">
        <f t="shared" si="4"/>
        <v>1.121</v>
      </c>
      <c r="N17" s="5">
        <f t="shared" si="4"/>
        <v>1.017</v>
      </c>
    </row>
    <row r="18">
      <c r="C18" s="5">
        <f t="shared" ref="C18:N18" si="5">C9-$P$4</f>
        <v>0.374</v>
      </c>
      <c r="D18" s="5">
        <f t="shared" si="5"/>
        <v>0.531</v>
      </c>
      <c r="E18" s="5">
        <f t="shared" si="5"/>
        <v>0.631</v>
      </c>
      <c r="F18" s="5">
        <f t="shared" si="5"/>
        <v>0.107</v>
      </c>
      <c r="G18" s="5">
        <f t="shared" si="5"/>
        <v>0.211</v>
      </c>
      <c r="H18" s="5">
        <f t="shared" si="5"/>
        <v>0.25</v>
      </c>
      <c r="I18" s="5">
        <f t="shared" si="5"/>
        <v>0.316</v>
      </c>
      <c r="J18" s="5">
        <f t="shared" si="5"/>
        <v>0.613</v>
      </c>
      <c r="K18" s="5">
        <f t="shared" si="5"/>
        <v>0.662</v>
      </c>
      <c r="L18" s="5">
        <f t="shared" si="5"/>
        <v>0.542</v>
      </c>
      <c r="M18" s="5">
        <f t="shared" si="5"/>
        <v>0.948</v>
      </c>
      <c r="N18" s="5">
        <f t="shared" si="5"/>
        <v>0.877</v>
      </c>
    </row>
    <row r="19">
      <c r="C19" s="5">
        <f t="shared" ref="C19:N19" si="6">C10-$P$4</f>
        <v>0.151</v>
      </c>
      <c r="D19" s="5">
        <f t="shared" si="6"/>
        <v>0.222</v>
      </c>
      <c r="E19" s="5">
        <f t="shared" si="6"/>
        <v>0.318</v>
      </c>
      <c r="F19" s="5">
        <f t="shared" si="6"/>
        <v>0.016</v>
      </c>
      <c r="G19" s="5">
        <f t="shared" si="6"/>
        <v>0.096</v>
      </c>
      <c r="H19" s="5">
        <f t="shared" si="6"/>
        <v>0.101</v>
      </c>
      <c r="I19" s="5">
        <f t="shared" si="6"/>
        <v>0.11</v>
      </c>
      <c r="J19" s="5">
        <f t="shared" si="6"/>
        <v>0.068</v>
      </c>
      <c r="K19" s="5">
        <f t="shared" si="6"/>
        <v>0.065</v>
      </c>
      <c r="L19" s="5">
        <f t="shared" si="6"/>
        <v>0.112</v>
      </c>
      <c r="M19" s="5">
        <f t="shared" si="6"/>
        <v>0.162</v>
      </c>
      <c r="N19" s="5">
        <f t="shared" si="6"/>
        <v>0.151</v>
      </c>
    </row>
    <row r="20">
      <c r="C20" s="5">
        <f t="shared" ref="C20:N20" si="7">C11-$P$4</f>
        <v>0.021</v>
      </c>
      <c r="D20" s="5">
        <f t="shared" si="7"/>
        <v>0.021</v>
      </c>
      <c r="E20" s="5">
        <f t="shared" si="7"/>
        <v>0.044</v>
      </c>
      <c r="F20" s="5">
        <f t="shared" si="7"/>
        <v>0</v>
      </c>
      <c r="G20" s="5">
        <f t="shared" si="7"/>
        <v>0.001</v>
      </c>
      <c r="H20" s="5">
        <f t="shared" si="7"/>
        <v>0.004</v>
      </c>
      <c r="I20" s="5">
        <f t="shared" si="7"/>
        <v>0.005</v>
      </c>
      <c r="J20" s="5">
        <f t="shared" si="7"/>
        <v>0.007</v>
      </c>
      <c r="K20" s="5">
        <f t="shared" si="7"/>
        <v>0.006</v>
      </c>
      <c r="L20" s="5">
        <f t="shared" si="7"/>
        <v>0.006</v>
      </c>
      <c r="M20" s="5">
        <f t="shared" si="7"/>
        <v>0.008</v>
      </c>
      <c r="N20" s="5">
        <f t="shared" si="7"/>
        <v>0.013</v>
      </c>
    </row>
    <row r="21" ht="15.75" customHeight="1"/>
    <row r="22" ht="15.75" customHeight="1"/>
    <row r="23" ht="15.75" customHeight="1">
      <c r="C23" s="5">
        <f t="shared" ref="C23:C29" si="8">C14/$C$14</f>
        <v>1</v>
      </c>
      <c r="D23" s="5">
        <f t="shared" ref="D23:D29" si="9">D14/$D$14</f>
        <v>1</v>
      </c>
      <c r="E23" s="5">
        <f t="shared" ref="E23:E29" si="10">E14/$E$14</f>
        <v>1</v>
      </c>
      <c r="F23" s="5">
        <f t="shared" ref="F23:F29" si="11">F14/$F$14</f>
        <v>1</v>
      </c>
      <c r="G23" s="5">
        <f t="shared" ref="G23:G29" si="12">G14/$G$14</f>
        <v>1</v>
      </c>
      <c r="H23" s="5">
        <f t="shared" ref="H23:H29" si="13">H14/$H$14</f>
        <v>1</v>
      </c>
      <c r="I23" s="5">
        <f t="shared" ref="I23:I29" si="14">I14/$I$14</f>
        <v>1</v>
      </c>
      <c r="J23" s="5">
        <f t="shared" ref="J23:J29" si="15">J14/$J$14</f>
        <v>1</v>
      </c>
      <c r="K23" s="5">
        <f t="shared" ref="K23:K29" si="16">K14/$K$14</f>
        <v>1</v>
      </c>
      <c r="L23" s="5">
        <f t="shared" ref="L23:L29" si="17">L14/$L$14</f>
        <v>1</v>
      </c>
      <c r="M23" s="5">
        <f t="shared" ref="M23:M29" si="18">M14/$M$14</f>
        <v>1</v>
      </c>
      <c r="N23" s="5">
        <f t="shared" ref="N23:N29" si="19">N14/$N$14</f>
        <v>1</v>
      </c>
    </row>
    <row r="24" ht="15.75" customHeight="1">
      <c r="C24" s="5">
        <f t="shared" si="8"/>
        <v>1.004743083</v>
      </c>
      <c r="D24" s="5">
        <f t="shared" si="9"/>
        <v>1.008230453</v>
      </c>
      <c r="E24" s="5">
        <f t="shared" si="10"/>
        <v>0.9854132901</v>
      </c>
      <c r="F24" s="5">
        <f t="shared" si="11"/>
        <v>0.990015361</v>
      </c>
      <c r="G24" s="5">
        <f t="shared" si="12"/>
        <v>1.00729927</v>
      </c>
      <c r="H24" s="5">
        <f t="shared" si="13"/>
        <v>0.964678179</v>
      </c>
      <c r="I24" s="5">
        <f t="shared" si="14"/>
        <v>1.027515723</v>
      </c>
      <c r="J24" s="5">
        <f t="shared" si="15"/>
        <v>0.9918500407</v>
      </c>
      <c r="K24" s="5">
        <f t="shared" si="16"/>
        <v>0.9720670391</v>
      </c>
      <c r="L24" s="5">
        <f t="shared" si="17"/>
        <v>0.9763899467</v>
      </c>
      <c r="M24" s="5">
        <f t="shared" si="18"/>
        <v>0.9800995025</v>
      </c>
      <c r="N24" s="5">
        <f t="shared" si="19"/>
        <v>0.9710982659</v>
      </c>
    </row>
    <row r="25" ht="15.75" customHeight="1">
      <c r="C25" s="5">
        <f t="shared" si="8"/>
        <v>0.9739130435</v>
      </c>
      <c r="D25" s="5">
        <f t="shared" si="9"/>
        <v>0.9703703704</v>
      </c>
      <c r="E25" s="5">
        <f t="shared" si="10"/>
        <v>0.9602917342</v>
      </c>
      <c r="F25" s="5">
        <f t="shared" si="11"/>
        <v>0.9615975422</v>
      </c>
      <c r="G25" s="5">
        <f t="shared" si="12"/>
        <v>0.9497161395</v>
      </c>
      <c r="H25" s="5">
        <f t="shared" si="13"/>
        <v>0.9113029827</v>
      </c>
      <c r="I25" s="5">
        <f t="shared" si="14"/>
        <v>0.9803459119</v>
      </c>
      <c r="J25" s="5">
        <f t="shared" si="15"/>
        <v>0.9576202119</v>
      </c>
      <c r="K25" s="5">
        <f t="shared" si="16"/>
        <v>0.9417398244</v>
      </c>
      <c r="L25" s="5">
        <f t="shared" si="17"/>
        <v>0.9527798934</v>
      </c>
      <c r="M25" s="5">
        <f t="shared" si="18"/>
        <v>0.9253731343</v>
      </c>
      <c r="N25" s="5">
        <f t="shared" si="19"/>
        <v>0.9182493807</v>
      </c>
    </row>
    <row r="26" ht="15.75" customHeight="1">
      <c r="C26" s="5">
        <f t="shared" si="8"/>
        <v>0.6853754941</v>
      </c>
      <c r="D26" s="5">
        <f t="shared" si="9"/>
        <v>0.7851851852</v>
      </c>
      <c r="E26" s="5">
        <f t="shared" si="10"/>
        <v>0.8954619125</v>
      </c>
      <c r="F26" s="5">
        <f t="shared" si="11"/>
        <v>0.4093701997</v>
      </c>
      <c r="G26" s="5">
        <f t="shared" si="12"/>
        <v>0.9164639092</v>
      </c>
      <c r="H26" s="5">
        <f t="shared" si="13"/>
        <v>0.8594976452</v>
      </c>
      <c r="I26" s="5">
        <f t="shared" si="14"/>
        <v>0.9198113208</v>
      </c>
      <c r="J26" s="5">
        <f t="shared" si="15"/>
        <v>0.8981255094</v>
      </c>
      <c r="K26" s="5">
        <f t="shared" si="16"/>
        <v>0.8723064645</v>
      </c>
      <c r="L26" s="5">
        <f t="shared" si="17"/>
        <v>0.9154607768</v>
      </c>
      <c r="M26" s="5">
        <f t="shared" si="18"/>
        <v>0.9295190713</v>
      </c>
      <c r="N26" s="5">
        <f t="shared" si="19"/>
        <v>0.8398018167</v>
      </c>
    </row>
    <row r="27" ht="15.75" customHeight="1">
      <c r="C27" s="5">
        <f t="shared" si="8"/>
        <v>0.2956521739</v>
      </c>
      <c r="D27" s="5">
        <f t="shared" si="9"/>
        <v>0.437037037</v>
      </c>
      <c r="E27" s="5">
        <f t="shared" si="10"/>
        <v>0.5113452188</v>
      </c>
      <c r="F27" s="5">
        <f t="shared" si="11"/>
        <v>0.0821812596</v>
      </c>
      <c r="G27" s="5">
        <f t="shared" si="12"/>
        <v>0.1711273317</v>
      </c>
      <c r="H27" s="5">
        <f t="shared" si="13"/>
        <v>0.1962323391</v>
      </c>
      <c r="I27" s="5">
        <f t="shared" si="14"/>
        <v>0.248427673</v>
      </c>
      <c r="J27" s="5">
        <f t="shared" si="15"/>
        <v>0.499592502</v>
      </c>
      <c r="K27" s="5">
        <f t="shared" si="16"/>
        <v>0.5283320032</v>
      </c>
      <c r="L27" s="5">
        <f t="shared" si="17"/>
        <v>0.4127951257</v>
      </c>
      <c r="M27" s="5">
        <f t="shared" si="18"/>
        <v>0.7860696517</v>
      </c>
      <c r="N27" s="5">
        <f t="shared" si="19"/>
        <v>0.7241948803</v>
      </c>
    </row>
    <row r="28" ht="15.75" customHeight="1">
      <c r="C28" s="5">
        <f t="shared" si="8"/>
        <v>0.1193675889</v>
      </c>
      <c r="D28" s="5">
        <f t="shared" si="9"/>
        <v>0.1827160494</v>
      </c>
      <c r="E28" s="5">
        <f t="shared" si="10"/>
        <v>0.2576985413</v>
      </c>
      <c r="F28" s="5">
        <f t="shared" si="11"/>
        <v>0.01228878648</v>
      </c>
      <c r="G28" s="5">
        <f t="shared" si="12"/>
        <v>0.07785888078</v>
      </c>
      <c r="H28" s="5">
        <f t="shared" si="13"/>
        <v>0.07927786499</v>
      </c>
      <c r="I28" s="5">
        <f t="shared" si="14"/>
        <v>0.08647798742</v>
      </c>
      <c r="J28" s="5">
        <f t="shared" si="15"/>
        <v>0.0554197229</v>
      </c>
      <c r="K28" s="5">
        <f t="shared" si="16"/>
        <v>0.0518754988</v>
      </c>
      <c r="L28" s="5">
        <f t="shared" si="17"/>
        <v>0.08530083778</v>
      </c>
      <c r="M28" s="5">
        <f t="shared" si="18"/>
        <v>0.1343283582</v>
      </c>
      <c r="N28" s="5">
        <f t="shared" si="19"/>
        <v>0.1246903386</v>
      </c>
    </row>
    <row r="29" ht="15.75" customHeight="1">
      <c r="C29" s="5">
        <f t="shared" si="8"/>
        <v>0.01660079051</v>
      </c>
      <c r="D29" s="5">
        <f t="shared" si="9"/>
        <v>0.01728395062</v>
      </c>
      <c r="E29" s="5">
        <f t="shared" si="10"/>
        <v>0.03565640194</v>
      </c>
      <c r="F29" s="5">
        <f t="shared" si="11"/>
        <v>0</v>
      </c>
      <c r="G29" s="5">
        <f t="shared" si="12"/>
        <v>0.0008110300081</v>
      </c>
      <c r="H29" s="5">
        <f t="shared" si="13"/>
        <v>0.003139717425</v>
      </c>
      <c r="I29" s="5">
        <f t="shared" si="14"/>
        <v>0.00393081761</v>
      </c>
      <c r="J29" s="5">
        <f t="shared" si="15"/>
        <v>0.005704971475</v>
      </c>
      <c r="K29" s="5">
        <f t="shared" si="16"/>
        <v>0.004788507582</v>
      </c>
      <c r="L29" s="5">
        <f t="shared" si="17"/>
        <v>0.004569687738</v>
      </c>
      <c r="M29" s="5">
        <f t="shared" si="18"/>
        <v>0.006633499171</v>
      </c>
      <c r="N29" s="5">
        <f t="shared" si="19"/>
        <v>0.01073492981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2026-04-15T18:32:14Z</dcterms:created>
  <dc:creator>Biotek2</dc:creator>
</cp:coreProperties>
</file>