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e 1 - Sheet1" sheetId="1" r:id="rId4"/>
    <sheet state="visible" name="Plate 2 - Sheet1" sheetId="2" r:id="rId5"/>
    <sheet state="visible" name="Plate 3 - Sheet1" sheetId="3" r:id="rId6"/>
  </sheets>
  <definedNames>
    <definedName name="MethodPointer1">-1993380816</definedName>
    <definedName name="MethodPointer2">338</definedName>
  </definedNames>
  <calcPr/>
  <extLst>
    <ext uri="GoogleSheetsCustomDataVersion2">
      <go:sheetsCustomData xmlns:go="http://customooxmlschemas.google.com/" r:id="rId7" roundtripDataChecksum="7Bm172rYkBqDQPDPgotHq+cl0Pk9Za/zKzCZMB2n6R4="/>
    </ext>
  </extLst>
</workbook>
</file>

<file path=xl/sharedStrings.xml><?xml version="1.0" encoding="utf-8"?>
<sst xmlns="http://schemas.openxmlformats.org/spreadsheetml/2006/main" count="126" uniqueCount="48">
  <si>
    <t>Software Version</t>
  </si>
  <si>
    <t>3.16.10</t>
  </si>
  <si>
    <t>Experiment File Path:</t>
  </si>
  <si>
    <t>C:\Users\Plate Reader Access\Desktop\Selmecki lab\Erika\2026_03_25_MIC_C303_FLC.xpt</t>
  </si>
  <si>
    <t>Protocol File Path:</t>
  </si>
  <si>
    <t>C:\Users\Public\Documents\Protocols\YPAD_MIC.prt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</si>
  <si>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</si>
  <si>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</si>
  <si>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</si>
  <si>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</si>
  <si>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</si>
  <si>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</si>
  <si>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</si>
  <si>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</si>
  <si>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</si>
  <si>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</si>
  <si>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</si>
  <si>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</si>
  <si>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</si>
  <si>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</si>
  <si>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</si>
  <si>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</si>
  <si>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</si>
  <si>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</si>
  <si>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</si>
  <si>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</si>
  <si>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</si>
  <si>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</si>
  <si>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</si>
  <si>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</si>
  <si>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</si>
  <si>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</si>
  <si>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</si>
  <si>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</si>
  <si>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C41</t>
  </si>
  <si>
    <t>C42</t>
  </si>
  <si>
    <t>C33</t>
  </si>
  <si>
    <t>C34</t>
  </si>
  <si>
    <t>FLC</t>
  </si>
  <si>
    <t>no drug</t>
  </si>
  <si>
    <r>
      <rPr>
        <rFont val="Arial"/>
        <color theme="1"/>
      </rPr>
      <t xml:space="preserve">0.125 </t>
    </r>
    <r>
      <rPr>
        <rFont val="Aptos Narrow"/>
        <color theme="1"/>
        <sz val="10.0"/>
      </rPr>
      <t>μg/ml</t>
    </r>
  </si>
  <si>
    <t>0.25 μg/ml</t>
  </si>
  <si>
    <t>0.5 μg/ml</t>
  </si>
  <si>
    <t>1 μg/ml</t>
  </si>
  <si>
    <t>2 μg/ml</t>
  </si>
  <si>
    <t>4 μg/ml</t>
  </si>
  <si>
    <t>Plate 2</t>
  </si>
  <si>
    <t>Plate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</si>
</sst>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u/>
      <sz val="10.0"/>
      <color rgb="FF000000"/>
      <name val="Arial"/>
    </font>
    <font>
      <sz val="10.0"/>
      <color rgb="FF000000"/>
      <name val="Arial"/>
    </font>
    <font>
      <sz val="10.0"/>
      <color rgb="FF27413E"/>
      <name val="Arial"/>
    </font>
    <font>
      <sz val="7.0"/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E8F3FF"/>
        <bgColor rgb="FFE8F3FF"/>
      </patternFill>
    </fill>
    <fill>
      <patternFill patternType="solid">
        <fgColor rgb="FF3385C2"/>
        <bgColor rgb="FF3385C2"/>
      </patternFill>
    </fill>
    <fill>
      <patternFill patternType="solid">
        <fgColor rgb="FF247CBD"/>
        <bgColor rgb="FF247CBD"/>
      </patternFill>
    </fill>
    <fill>
      <patternFill patternType="solid">
        <fgColor rgb="FF428EC7"/>
        <bgColor rgb="FF428EC7"/>
      </patternFill>
    </fill>
    <fill>
      <patternFill patternType="solid">
        <fgColor rgb="FF7EB2DB"/>
        <bgColor rgb="FF7EB2DB"/>
      </patternFill>
    </fill>
    <fill>
      <patternFill patternType="solid">
        <fgColor rgb="FF8DBCE0"/>
        <bgColor rgb="FF8DBCE0"/>
      </patternFill>
    </fill>
    <fill>
      <patternFill patternType="solid">
        <fgColor rgb="FF60A0D1"/>
        <bgColor rgb="FF60A0D1"/>
      </patternFill>
    </fill>
    <fill>
      <patternFill patternType="solid">
        <fgColor rgb="FF9CC5E5"/>
        <bgColor rgb="FF9CC5E5"/>
      </patternFill>
    </fill>
    <fill>
      <patternFill patternType="solid">
        <fgColor rgb="FF6FA9D6"/>
        <bgColor rgb="FF6FA9D6"/>
      </patternFill>
    </fill>
    <fill>
      <patternFill patternType="solid">
        <fgColor rgb="FFBAD7EF"/>
        <bgColor rgb="FFBAD7EF"/>
      </patternFill>
    </fill>
    <fill>
      <patternFill patternType="solid">
        <fgColor rgb="FFABCEEA"/>
        <bgColor rgb="FFABCEEA"/>
      </patternFill>
    </fill>
    <fill>
      <patternFill patternType="solid">
        <fgColor rgb="FFC9E0F4"/>
        <bgColor rgb="FFC9E0F4"/>
      </patternFill>
    </fill>
    <fill>
      <patternFill patternType="solid">
        <fgColor rgb="FFD8E9F9"/>
        <bgColor rgb="FFD8E9F9"/>
      </patternFill>
    </fill>
    <fill>
      <patternFill patternType="solid">
        <fgColor rgb="FF5197CC"/>
        <bgColor rgb="FF5197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9" xfId="0" applyFont="1" applyNumberFormat="1"/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shrinkToFit="0" vertical="center" wrapText="1"/>
    </xf>
    <xf borderId="1" fillId="12" fontId="4" numFmtId="0" xfId="0" applyAlignment="1" applyBorder="1" applyFill="1" applyFont="1">
      <alignment horizontal="center" shrinkToFit="0" vertical="center" wrapText="1"/>
    </xf>
    <xf borderId="1" fillId="13" fontId="4" numFmtId="0" xfId="0" applyAlignment="1" applyBorder="1" applyFill="1" applyFont="1">
      <alignment horizontal="center" shrinkToFit="0" vertical="center" wrapText="1"/>
    </xf>
    <xf borderId="1" fillId="14" fontId="4" numFmtId="0" xfId="0" applyAlignment="1" applyBorder="1" applyFill="1" applyFont="1">
      <alignment horizontal="center" shrinkToFit="0" vertical="center" wrapText="1"/>
    </xf>
    <xf borderId="1" fillId="15" fontId="4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16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15" width="8.63"/>
    <col customWidth="1" min="16" max="16" width="11.13"/>
    <col customWidth="1" min="17" max="28" width="8.63"/>
  </cols>
  <sheetData>
    <row r="1" ht="12.75" customHeight="1"/>
    <row r="2" ht="12.75" customHeight="1">
      <c r="A2" s="1" t="s">
        <v>0</v>
      </c>
      <c r="B2" s="1" t="s">
        <v>1</v>
      </c>
    </row>
    <row r="3" ht="12.75" customHeight="1"/>
    <row r="4" ht="12.75" customHeight="1">
      <c r="A4" s="1" t="s">
        <v>2</v>
      </c>
      <c r="B4" s="1" t="s">
        <v>3</v>
      </c>
    </row>
    <row r="5" ht="12.75" customHeight="1">
      <c r="A5" s="1" t="s">
        <v>4</v>
      </c>
      <c r="B5" s="1" t="s">
        <v>5</v>
      </c>
    </row>
    <row r="6" ht="12.75" customHeight="1">
      <c r="A6" s="1" t="s">
        <v>6</v>
      </c>
      <c r="B6" s="1" t="s">
        <v>7</v>
      </c>
    </row>
    <row r="7" ht="12.75" customHeight="1">
      <c r="A7" s="1" t="s">
        <v>8</v>
      </c>
      <c r="B7" s="2">
        <v>46106.0</v>
      </c>
    </row>
    <row r="8" ht="12.75" customHeight="1">
      <c r="A8" s="1" t="s">
        <v>9</v>
      </c>
      <c r="B8" s="3">
        <v>0.6309606481481481</v>
      </c>
    </row>
    <row r="9" ht="12.75" customHeight="1">
      <c r="A9" s="1" t="s">
        <v>10</v>
      </c>
      <c r="B9" s="1" t="s">
        <v>11</v>
      </c>
    </row>
    <row r="10" ht="12.75" customHeight="1">
      <c r="A10" s="1" t="s">
        <v>12</v>
      </c>
      <c r="B10" s="1">
        <v>2.5030902E7</v>
      </c>
    </row>
    <row r="11" ht="12.75" customHeight="1">
      <c r="A11" s="1" t="s">
        <v>13</v>
      </c>
      <c r="B11" s="1" t="s">
        <v>14</v>
      </c>
    </row>
    <row r="12" ht="12.75" customHeight="1"/>
    <row r="13" ht="12.75" customHeight="1">
      <c r="A13" s="4" t="s">
        <v>15</v>
      </c>
      <c r="B13" s="5"/>
    </row>
    <row r="14" ht="12.75" customHeight="1">
      <c r="A14" s="1" t="s">
        <v>16</v>
      </c>
      <c r="B14" s="1" t="s">
        <v>17</v>
      </c>
    </row>
    <row r="15" ht="12.75" customHeight="1">
      <c r="A15" s="1" t="s">
        <v>18</v>
      </c>
    </row>
    <row r="16" ht="12.75" customHeight="1">
      <c r="A16" s="1" t="s">
        <v>19</v>
      </c>
      <c r="B16" s="1" t="s">
        <v>20</v>
      </c>
    </row>
    <row r="17" ht="12.75" customHeight="1">
      <c r="B17" s="1" t="s">
        <v>21</v>
      </c>
    </row>
    <row r="18" ht="12.75" customHeight="1">
      <c r="B18" s="1" t="s">
        <v>22</v>
      </c>
    </row>
    <row r="19" ht="12.75" customHeight="1">
      <c r="B19" s="1" t="s">
        <v>23</v>
      </c>
    </row>
    <row r="20" ht="12.75" customHeight="1"/>
    <row r="21" ht="12.75" customHeight="1">
      <c r="A21" s="4" t="s">
        <v>24</v>
      </c>
      <c r="B21" s="5"/>
    </row>
    <row r="22" ht="12.75" customHeight="1">
      <c r="A22" s="1" t="s">
        <v>25</v>
      </c>
      <c r="B22" s="1">
        <v>26.3</v>
      </c>
    </row>
    <row r="23" ht="12.75" customHeight="1"/>
    <row r="24" ht="12.75" customHeight="1">
      <c r="B24" s="6"/>
      <c r="C24" s="7">
        <v>1.0</v>
      </c>
      <c r="D24" s="7">
        <v>2.0</v>
      </c>
      <c r="E24" s="7">
        <v>3.0</v>
      </c>
      <c r="F24" s="7">
        <v>4.0</v>
      </c>
      <c r="G24" s="7">
        <v>5.0</v>
      </c>
      <c r="H24" s="7">
        <v>6.0</v>
      </c>
      <c r="I24" s="7">
        <v>7.0</v>
      </c>
      <c r="J24" s="7">
        <v>8.0</v>
      </c>
      <c r="K24" s="7">
        <v>9.0</v>
      </c>
      <c r="L24" s="7">
        <v>10.0</v>
      </c>
      <c r="M24" s="7">
        <v>11.0</v>
      </c>
      <c r="N24" s="7">
        <v>12.0</v>
      </c>
    </row>
    <row r="25" ht="12.75" customHeight="1">
      <c r="B25" s="7" t="s">
        <v>26</v>
      </c>
      <c r="C25" s="8">
        <v>0.099</v>
      </c>
      <c r="D25" s="8">
        <v>0.107</v>
      </c>
      <c r="E25" s="8">
        <v>0.112</v>
      </c>
      <c r="F25" s="8">
        <v>0.111</v>
      </c>
      <c r="G25" s="8">
        <v>0.111</v>
      </c>
      <c r="H25" s="8">
        <v>0.111</v>
      </c>
      <c r="I25" s="8">
        <v>0.108</v>
      </c>
      <c r="J25" s="8">
        <v>0.111</v>
      </c>
      <c r="K25" s="8">
        <v>0.108</v>
      </c>
      <c r="L25" s="8">
        <v>0.111</v>
      </c>
      <c r="M25" s="8">
        <v>0.111</v>
      </c>
      <c r="N25" s="8">
        <v>0.102</v>
      </c>
      <c r="O25" s="9">
        <v>600.0</v>
      </c>
      <c r="P25" s="1">
        <f>AVERAGE(C25:N25)</f>
        <v>0.1085</v>
      </c>
    </row>
    <row r="26" ht="12.75" customHeight="1">
      <c r="B26" s="7" t="s">
        <v>27</v>
      </c>
      <c r="C26" s="10">
        <v>1.326</v>
      </c>
      <c r="D26" s="10">
        <v>1.354</v>
      </c>
      <c r="E26" s="10">
        <v>1.342</v>
      </c>
      <c r="F26" s="11">
        <v>1.394</v>
      </c>
      <c r="G26" s="11">
        <v>1.408</v>
      </c>
      <c r="H26" s="11">
        <v>1.403</v>
      </c>
      <c r="I26" s="11">
        <v>1.447</v>
      </c>
      <c r="J26" s="11">
        <v>1.435</v>
      </c>
      <c r="K26" s="11">
        <v>1.411</v>
      </c>
      <c r="L26" s="10">
        <v>1.338</v>
      </c>
      <c r="M26" s="10">
        <v>1.346</v>
      </c>
      <c r="N26" s="10">
        <v>1.3</v>
      </c>
      <c r="O26" s="9">
        <v>600.0</v>
      </c>
    </row>
    <row r="27" ht="12.75" customHeight="1">
      <c r="B27" s="7" t="s">
        <v>28</v>
      </c>
      <c r="C27" s="11">
        <v>1.393</v>
      </c>
      <c r="D27" s="11">
        <v>1.409</v>
      </c>
      <c r="E27" s="11">
        <v>1.406</v>
      </c>
      <c r="F27" s="11">
        <v>1.434</v>
      </c>
      <c r="G27" s="11">
        <v>1.42</v>
      </c>
      <c r="H27" s="11">
        <v>1.408</v>
      </c>
      <c r="I27" s="11">
        <v>1.466</v>
      </c>
      <c r="J27" s="11">
        <v>1.438</v>
      </c>
      <c r="K27" s="11">
        <v>1.431</v>
      </c>
      <c r="L27" s="11">
        <v>1.425</v>
      </c>
      <c r="M27" s="10">
        <v>1.381</v>
      </c>
      <c r="N27" s="11">
        <v>1.392</v>
      </c>
      <c r="O27" s="9">
        <v>600.0</v>
      </c>
    </row>
    <row r="28" ht="12.75" customHeight="1">
      <c r="B28" s="7" t="s">
        <v>29</v>
      </c>
      <c r="C28" s="10">
        <v>1.364</v>
      </c>
      <c r="D28" s="11">
        <v>1.41</v>
      </c>
      <c r="E28" s="11">
        <v>1.392</v>
      </c>
      <c r="F28" s="11">
        <v>1.425</v>
      </c>
      <c r="G28" s="11">
        <v>1.43</v>
      </c>
      <c r="H28" s="11">
        <v>1.428</v>
      </c>
      <c r="I28" s="11">
        <v>1.481</v>
      </c>
      <c r="J28" s="11">
        <v>1.428</v>
      </c>
      <c r="K28" s="11">
        <v>1.427</v>
      </c>
      <c r="L28" s="11">
        <v>1.443</v>
      </c>
      <c r="M28" s="10">
        <v>1.375</v>
      </c>
      <c r="N28" s="10">
        <v>1.302</v>
      </c>
      <c r="O28" s="9">
        <v>600.0</v>
      </c>
    </row>
    <row r="29" ht="12.75" customHeight="1">
      <c r="B29" s="7" t="s">
        <v>30</v>
      </c>
      <c r="C29" s="10">
        <v>1.364</v>
      </c>
      <c r="D29" s="11">
        <v>1.39</v>
      </c>
      <c r="E29" s="11">
        <v>1.4</v>
      </c>
      <c r="F29" s="12">
        <v>1.233</v>
      </c>
      <c r="G29" s="13">
        <v>0.793</v>
      </c>
      <c r="H29" s="14">
        <v>0.749</v>
      </c>
      <c r="I29" s="15">
        <v>1.027</v>
      </c>
      <c r="J29" s="16">
        <v>0.608</v>
      </c>
      <c r="K29" s="16">
        <v>0.64</v>
      </c>
      <c r="L29" s="17">
        <v>0.914</v>
      </c>
      <c r="M29" s="18">
        <v>0.463</v>
      </c>
      <c r="N29" s="18">
        <v>0.443</v>
      </c>
      <c r="O29" s="9">
        <v>600.0</v>
      </c>
    </row>
    <row r="30" ht="12.75" customHeight="1">
      <c r="B30" s="7" t="s">
        <v>31</v>
      </c>
      <c r="C30" s="10">
        <v>1.343</v>
      </c>
      <c r="D30" s="10">
        <v>1.33</v>
      </c>
      <c r="E30" s="11">
        <v>1.391</v>
      </c>
      <c r="F30" s="19">
        <v>0.499</v>
      </c>
      <c r="G30" s="20">
        <v>0.372</v>
      </c>
      <c r="H30" s="20">
        <v>0.371</v>
      </c>
      <c r="I30" s="18">
        <v>0.448</v>
      </c>
      <c r="J30" s="20">
        <v>0.345</v>
      </c>
      <c r="K30" s="20">
        <v>0.356</v>
      </c>
      <c r="L30" s="20">
        <v>0.386</v>
      </c>
      <c r="M30" s="21">
        <v>0.293</v>
      </c>
      <c r="N30" s="21">
        <v>0.246</v>
      </c>
      <c r="O30" s="9">
        <v>600.0</v>
      </c>
    </row>
    <row r="31" ht="12.75" customHeight="1">
      <c r="B31" s="7" t="s">
        <v>32</v>
      </c>
      <c r="C31" s="12">
        <v>1.266</v>
      </c>
      <c r="D31" s="15">
        <v>0.995</v>
      </c>
      <c r="E31" s="15">
        <v>1.043</v>
      </c>
      <c r="F31" s="21">
        <v>0.254</v>
      </c>
      <c r="G31" s="21">
        <v>0.22</v>
      </c>
      <c r="H31" s="21">
        <v>0.229</v>
      </c>
      <c r="I31" s="21">
        <v>0.281</v>
      </c>
      <c r="J31" s="21">
        <v>0.25</v>
      </c>
      <c r="K31" s="21">
        <v>0.247</v>
      </c>
      <c r="L31" s="21">
        <v>0.249</v>
      </c>
      <c r="M31" s="21">
        <v>0.214</v>
      </c>
      <c r="N31" s="8">
        <v>0.164</v>
      </c>
      <c r="O31" s="9">
        <v>600.0</v>
      </c>
    </row>
    <row r="32" ht="12.75" customHeight="1">
      <c r="B32" s="7" t="s">
        <v>33</v>
      </c>
      <c r="C32" s="16">
        <v>0.597</v>
      </c>
      <c r="D32" s="21">
        <v>0.288</v>
      </c>
      <c r="E32" s="21">
        <v>0.294</v>
      </c>
      <c r="F32" s="8">
        <v>0.153</v>
      </c>
      <c r="G32" s="8">
        <v>0.137</v>
      </c>
      <c r="H32" s="8">
        <v>0.135</v>
      </c>
      <c r="I32" s="8">
        <v>0.191</v>
      </c>
      <c r="J32" s="8">
        <v>0.172</v>
      </c>
      <c r="K32" s="8">
        <v>0.173</v>
      </c>
      <c r="L32" s="8">
        <v>0.172</v>
      </c>
      <c r="M32" s="8">
        <v>0.15</v>
      </c>
      <c r="N32" s="8">
        <v>0.141</v>
      </c>
      <c r="O32" s="9">
        <v>600.0</v>
      </c>
    </row>
    <row r="33" ht="12.75" customHeight="1"/>
    <row r="34" ht="12.75" customHeight="1"/>
    <row r="35" ht="12.75" customHeight="1">
      <c r="C35" s="1">
        <f t="shared" ref="C35:N35" si="1">C26-$P$25</f>
        <v>1.2175</v>
      </c>
      <c r="D35" s="1">
        <f t="shared" si="1"/>
        <v>1.2455</v>
      </c>
      <c r="E35" s="1">
        <f t="shared" si="1"/>
        <v>1.2335</v>
      </c>
      <c r="F35" s="1">
        <f t="shared" si="1"/>
        <v>1.2855</v>
      </c>
      <c r="G35" s="1">
        <f t="shared" si="1"/>
        <v>1.2995</v>
      </c>
      <c r="H35" s="1">
        <f t="shared" si="1"/>
        <v>1.2945</v>
      </c>
      <c r="I35" s="1">
        <f t="shared" si="1"/>
        <v>1.3385</v>
      </c>
      <c r="J35" s="1">
        <f t="shared" si="1"/>
        <v>1.3265</v>
      </c>
      <c r="K35" s="1">
        <f t="shared" si="1"/>
        <v>1.3025</v>
      </c>
      <c r="L35" s="1">
        <f t="shared" si="1"/>
        <v>1.2295</v>
      </c>
      <c r="M35" s="1">
        <f t="shared" si="1"/>
        <v>1.2375</v>
      </c>
      <c r="N35" s="1">
        <f t="shared" si="1"/>
        <v>1.1915</v>
      </c>
    </row>
    <row r="36" ht="12.75" customHeight="1">
      <c r="C36" s="1">
        <f t="shared" ref="C36:N36" si="2">C27-$P$25</f>
        <v>1.2845</v>
      </c>
      <c r="D36" s="1">
        <f t="shared" si="2"/>
        <v>1.3005</v>
      </c>
      <c r="E36" s="1">
        <f t="shared" si="2"/>
        <v>1.2975</v>
      </c>
      <c r="F36" s="1">
        <f t="shared" si="2"/>
        <v>1.3255</v>
      </c>
      <c r="G36" s="1">
        <f t="shared" si="2"/>
        <v>1.3115</v>
      </c>
      <c r="H36" s="1">
        <f t="shared" si="2"/>
        <v>1.2995</v>
      </c>
      <c r="I36" s="1">
        <f t="shared" si="2"/>
        <v>1.3575</v>
      </c>
      <c r="J36" s="1">
        <f t="shared" si="2"/>
        <v>1.3295</v>
      </c>
      <c r="K36" s="1">
        <f t="shared" si="2"/>
        <v>1.3225</v>
      </c>
      <c r="L36" s="1">
        <f t="shared" si="2"/>
        <v>1.3165</v>
      </c>
      <c r="M36" s="1">
        <f t="shared" si="2"/>
        <v>1.2725</v>
      </c>
      <c r="N36" s="1">
        <f t="shared" si="2"/>
        <v>1.2835</v>
      </c>
    </row>
    <row r="37" ht="12.75" customHeight="1">
      <c r="C37" s="1">
        <f t="shared" ref="C37:N37" si="3">C28-$P$25</f>
        <v>1.2555</v>
      </c>
      <c r="D37" s="1">
        <f t="shared" si="3"/>
        <v>1.3015</v>
      </c>
      <c r="E37" s="1">
        <f t="shared" si="3"/>
        <v>1.2835</v>
      </c>
      <c r="F37" s="1">
        <f t="shared" si="3"/>
        <v>1.3165</v>
      </c>
      <c r="G37" s="1">
        <f t="shared" si="3"/>
        <v>1.3215</v>
      </c>
      <c r="H37" s="1">
        <f t="shared" si="3"/>
        <v>1.3195</v>
      </c>
      <c r="I37" s="1">
        <f t="shared" si="3"/>
        <v>1.3725</v>
      </c>
      <c r="J37" s="1">
        <f t="shared" si="3"/>
        <v>1.3195</v>
      </c>
      <c r="K37" s="1">
        <f t="shared" si="3"/>
        <v>1.3185</v>
      </c>
      <c r="L37" s="1">
        <f t="shared" si="3"/>
        <v>1.3345</v>
      </c>
      <c r="M37" s="1">
        <f t="shared" si="3"/>
        <v>1.2665</v>
      </c>
      <c r="N37" s="1">
        <f t="shared" si="3"/>
        <v>1.1935</v>
      </c>
    </row>
    <row r="38" ht="12.75" customHeight="1">
      <c r="C38" s="1">
        <f t="shared" ref="C38:N38" si="4">C29-$P$25</f>
        <v>1.2555</v>
      </c>
      <c r="D38" s="1">
        <f t="shared" si="4"/>
        <v>1.2815</v>
      </c>
      <c r="E38" s="1">
        <f t="shared" si="4"/>
        <v>1.2915</v>
      </c>
      <c r="F38" s="1">
        <f t="shared" si="4"/>
        <v>1.1245</v>
      </c>
      <c r="G38" s="1">
        <f t="shared" si="4"/>
        <v>0.6845</v>
      </c>
      <c r="H38" s="1">
        <f t="shared" si="4"/>
        <v>0.6405</v>
      </c>
      <c r="I38" s="1">
        <f t="shared" si="4"/>
        <v>0.9185</v>
      </c>
      <c r="J38" s="1">
        <f t="shared" si="4"/>
        <v>0.4995</v>
      </c>
      <c r="K38" s="1">
        <f t="shared" si="4"/>
        <v>0.5315</v>
      </c>
      <c r="L38" s="1">
        <f t="shared" si="4"/>
        <v>0.8055</v>
      </c>
      <c r="M38" s="1">
        <f t="shared" si="4"/>
        <v>0.3545</v>
      </c>
      <c r="N38" s="1">
        <f t="shared" si="4"/>
        <v>0.3345</v>
      </c>
    </row>
    <row r="39" ht="12.75" customHeight="1">
      <c r="C39" s="1">
        <f t="shared" ref="C39:N39" si="5">C30-$P$25</f>
        <v>1.2345</v>
      </c>
      <c r="D39" s="1">
        <f t="shared" si="5"/>
        <v>1.2215</v>
      </c>
      <c r="E39" s="1">
        <f t="shared" si="5"/>
        <v>1.2825</v>
      </c>
      <c r="F39" s="1">
        <f t="shared" si="5"/>
        <v>0.3905</v>
      </c>
      <c r="G39" s="1">
        <f t="shared" si="5"/>
        <v>0.2635</v>
      </c>
      <c r="H39" s="1">
        <f t="shared" si="5"/>
        <v>0.2625</v>
      </c>
      <c r="I39" s="1">
        <f t="shared" si="5"/>
        <v>0.3395</v>
      </c>
      <c r="J39" s="1">
        <f t="shared" si="5"/>
        <v>0.2365</v>
      </c>
      <c r="K39" s="1">
        <f t="shared" si="5"/>
        <v>0.2475</v>
      </c>
      <c r="L39" s="1">
        <f t="shared" si="5"/>
        <v>0.2775</v>
      </c>
      <c r="M39" s="1">
        <f t="shared" si="5"/>
        <v>0.1845</v>
      </c>
      <c r="N39" s="1">
        <f t="shared" si="5"/>
        <v>0.1375</v>
      </c>
    </row>
    <row r="40" ht="12.75" customHeight="1">
      <c r="C40" s="1">
        <f t="shared" ref="C40:N40" si="6">C31-$P$25</f>
        <v>1.1575</v>
      </c>
      <c r="D40" s="1">
        <f t="shared" si="6"/>
        <v>0.8865</v>
      </c>
      <c r="E40" s="1">
        <f t="shared" si="6"/>
        <v>0.9345</v>
      </c>
      <c r="F40" s="1">
        <f t="shared" si="6"/>
        <v>0.1455</v>
      </c>
      <c r="G40" s="1">
        <f t="shared" si="6"/>
        <v>0.1115</v>
      </c>
      <c r="H40" s="1">
        <f t="shared" si="6"/>
        <v>0.1205</v>
      </c>
      <c r="I40" s="1">
        <f t="shared" si="6"/>
        <v>0.1725</v>
      </c>
      <c r="J40" s="1">
        <f t="shared" si="6"/>
        <v>0.1415</v>
      </c>
      <c r="K40" s="1">
        <f t="shared" si="6"/>
        <v>0.1385</v>
      </c>
      <c r="L40" s="1">
        <f t="shared" si="6"/>
        <v>0.1405</v>
      </c>
      <c r="M40" s="1">
        <f t="shared" si="6"/>
        <v>0.1055</v>
      </c>
      <c r="N40" s="1">
        <f t="shared" si="6"/>
        <v>0.0555</v>
      </c>
    </row>
    <row r="41" ht="12.75" customHeight="1">
      <c r="C41" s="1">
        <f t="shared" ref="C41:N41" si="7">C32-$P$25</f>
        <v>0.4885</v>
      </c>
      <c r="D41" s="1">
        <f t="shared" si="7"/>
        <v>0.1795</v>
      </c>
      <c r="E41" s="1">
        <f t="shared" si="7"/>
        <v>0.1855</v>
      </c>
      <c r="F41" s="1">
        <f t="shared" si="7"/>
        <v>0.0445</v>
      </c>
      <c r="G41" s="1">
        <f t="shared" si="7"/>
        <v>0.0285</v>
      </c>
      <c r="H41" s="1">
        <f t="shared" si="7"/>
        <v>0.0265</v>
      </c>
      <c r="I41" s="1">
        <f t="shared" si="7"/>
        <v>0.0825</v>
      </c>
      <c r="J41" s="1">
        <f t="shared" si="7"/>
        <v>0.0635</v>
      </c>
      <c r="K41" s="1">
        <f t="shared" si="7"/>
        <v>0.0645</v>
      </c>
      <c r="L41" s="1">
        <f t="shared" si="7"/>
        <v>0.0635</v>
      </c>
      <c r="M41" s="1">
        <f t="shared" si="7"/>
        <v>0.0415</v>
      </c>
      <c r="N41" s="1">
        <f t="shared" si="7"/>
        <v>0.0325</v>
      </c>
    </row>
    <row r="42" ht="12.75" customHeight="1"/>
    <row r="43" ht="12.75" customHeight="1">
      <c r="C43" s="22">
        <v>2868.0</v>
      </c>
      <c r="D43" s="22" t="s">
        <v>34</v>
      </c>
      <c r="E43" s="22" t="s">
        <v>35</v>
      </c>
      <c r="F43" s="22">
        <v>2875.0</v>
      </c>
      <c r="G43" s="22" t="s">
        <v>36</v>
      </c>
      <c r="H43" s="22" t="s">
        <v>37</v>
      </c>
      <c r="I43" s="22">
        <v>2876.0</v>
      </c>
      <c r="J43" s="22" t="s">
        <v>34</v>
      </c>
      <c r="K43" s="22" t="s">
        <v>35</v>
      </c>
      <c r="L43" s="22">
        <v>5192.0</v>
      </c>
      <c r="M43" s="22" t="s">
        <v>34</v>
      </c>
      <c r="N43" s="22" t="s">
        <v>35</v>
      </c>
    </row>
    <row r="44" ht="12.75" customHeight="1">
      <c r="C44" s="1">
        <f t="shared" ref="C44:C50" si="8">C35/$C$35</f>
        <v>1</v>
      </c>
      <c r="D44" s="1">
        <f t="shared" ref="D44:D50" si="9">D35/$D$35</f>
        <v>1</v>
      </c>
      <c r="E44" s="1">
        <f t="shared" ref="E44:E50" si="10">E35/$E$35</f>
        <v>1</v>
      </c>
      <c r="F44" s="1">
        <f t="shared" ref="F44:F50" si="11">F35/$F$35</f>
        <v>1</v>
      </c>
      <c r="G44" s="1">
        <f t="shared" ref="G44:G50" si="12">G35/$G$35</f>
        <v>1</v>
      </c>
      <c r="H44" s="1">
        <f t="shared" ref="H44:H50" si="13">H35/$H$35</f>
        <v>1</v>
      </c>
      <c r="I44" s="1">
        <f t="shared" ref="I44:I50" si="14">I35/$I$35</f>
        <v>1</v>
      </c>
      <c r="J44" s="1">
        <f t="shared" ref="J44:J50" si="15">J35/$J$35</f>
        <v>1</v>
      </c>
      <c r="K44" s="1">
        <f t="shared" ref="K44:K50" si="16">K35/$K$35</f>
        <v>1</v>
      </c>
      <c r="L44" s="1">
        <f t="shared" ref="L44:L50" si="17">L35/$L$35</f>
        <v>1</v>
      </c>
      <c r="M44" s="1">
        <f t="shared" ref="M44:M50" si="18">M35/$M$35</f>
        <v>1</v>
      </c>
      <c r="N44" s="1">
        <f t="shared" ref="N44:N50" si="19">N35/$N$35</f>
        <v>1</v>
      </c>
      <c r="P44" s="1" t="s">
        <v>38</v>
      </c>
      <c r="Q44" s="22">
        <v>2868.0</v>
      </c>
      <c r="R44" s="22" t="s">
        <v>34</v>
      </c>
      <c r="S44" s="22" t="s">
        <v>35</v>
      </c>
      <c r="T44" s="22">
        <v>2875.0</v>
      </c>
      <c r="U44" s="22" t="s">
        <v>36</v>
      </c>
      <c r="V44" s="22" t="s">
        <v>37</v>
      </c>
      <c r="W44" s="22">
        <v>2876.0</v>
      </c>
      <c r="X44" s="22" t="s">
        <v>34</v>
      </c>
      <c r="Y44" s="22" t="s">
        <v>35</v>
      </c>
      <c r="Z44" s="22">
        <v>5192.0</v>
      </c>
      <c r="AA44" s="22" t="s">
        <v>34</v>
      </c>
      <c r="AB44" s="22" t="s">
        <v>35</v>
      </c>
    </row>
    <row r="45" ht="12.75" customHeight="1">
      <c r="C45" s="1">
        <f t="shared" si="8"/>
        <v>1.055030801</v>
      </c>
      <c r="D45" s="1">
        <f t="shared" si="9"/>
        <v>1.044158972</v>
      </c>
      <c r="E45" s="1">
        <f t="shared" si="10"/>
        <v>1.05188488</v>
      </c>
      <c r="F45" s="1">
        <f t="shared" si="11"/>
        <v>1.031116297</v>
      </c>
      <c r="G45" s="1">
        <f t="shared" si="12"/>
        <v>1.009234321</v>
      </c>
      <c r="H45" s="1">
        <f t="shared" si="13"/>
        <v>1.003862495</v>
      </c>
      <c r="I45" s="1">
        <f t="shared" si="14"/>
        <v>1.014194994</v>
      </c>
      <c r="J45" s="1">
        <f t="shared" si="15"/>
        <v>1.002261591</v>
      </c>
      <c r="K45" s="1">
        <f t="shared" si="16"/>
        <v>1.015355086</v>
      </c>
      <c r="L45" s="1">
        <f t="shared" si="17"/>
        <v>1.070760472</v>
      </c>
      <c r="M45" s="1">
        <f t="shared" si="18"/>
        <v>1.028282828</v>
      </c>
      <c r="N45" s="1">
        <f t="shared" si="19"/>
        <v>1.077213596</v>
      </c>
      <c r="P45" s="1" t="s">
        <v>39</v>
      </c>
      <c r="Q45" s="1">
        <f t="shared" ref="Q45:AB45" si="20">AVERAGE(C44,C53,C62)</f>
        <v>1</v>
      </c>
      <c r="R45" s="1">
        <f t="shared" si="20"/>
        <v>1</v>
      </c>
      <c r="S45" s="1">
        <f t="shared" si="20"/>
        <v>1</v>
      </c>
      <c r="T45" s="1">
        <f t="shared" si="20"/>
        <v>1</v>
      </c>
      <c r="U45" s="1">
        <f t="shared" si="20"/>
        <v>1</v>
      </c>
      <c r="V45" s="1">
        <f t="shared" si="20"/>
        <v>1</v>
      </c>
      <c r="W45" s="1">
        <f t="shared" si="20"/>
        <v>1</v>
      </c>
      <c r="X45" s="1">
        <f t="shared" si="20"/>
        <v>1</v>
      </c>
      <c r="Y45" s="1">
        <f t="shared" si="20"/>
        <v>1</v>
      </c>
      <c r="Z45" s="1">
        <f t="shared" si="20"/>
        <v>1</v>
      </c>
      <c r="AA45" s="1">
        <f t="shared" si="20"/>
        <v>1</v>
      </c>
      <c r="AB45" s="1">
        <f t="shared" si="20"/>
        <v>1</v>
      </c>
    </row>
    <row r="46" ht="12.75" customHeight="1">
      <c r="C46" s="1">
        <f t="shared" si="8"/>
        <v>1.031211499</v>
      </c>
      <c r="D46" s="1">
        <f t="shared" si="9"/>
        <v>1.044961863</v>
      </c>
      <c r="E46" s="1">
        <f t="shared" si="10"/>
        <v>1.040535063</v>
      </c>
      <c r="F46" s="1">
        <f t="shared" si="11"/>
        <v>1.02411513</v>
      </c>
      <c r="G46" s="1">
        <f t="shared" si="12"/>
        <v>1.016929588</v>
      </c>
      <c r="H46" s="1">
        <f t="shared" si="13"/>
        <v>1.019312476</v>
      </c>
      <c r="I46" s="1">
        <f t="shared" si="14"/>
        <v>1.025401569</v>
      </c>
      <c r="J46" s="1">
        <f t="shared" si="15"/>
        <v>0.9947229551</v>
      </c>
      <c r="K46" s="1">
        <f t="shared" si="16"/>
        <v>1.012284069</v>
      </c>
      <c r="L46" s="1">
        <f t="shared" si="17"/>
        <v>1.085400569</v>
      </c>
      <c r="M46" s="1">
        <f t="shared" si="18"/>
        <v>1.023434343</v>
      </c>
      <c r="N46" s="1">
        <f t="shared" si="19"/>
        <v>1.001678556</v>
      </c>
      <c r="P46" s="1" t="s">
        <v>40</v>
      </c>
      <c r="Q46" s="1">
        <f t="shared" ref="Q46:AB46" si="21">AVERAGE(C45,C54,C63)</f>
        <v>0.9916798656</v>
      </c>
      <c r="R46" s="1">
        <f t="shared" si="21"/>
        <v>0.9973629881</v>
      </c>
      <c r="S46" s="1">
        <f t="shared" si="21"/>
        <v>0.9928271709</v>
      </c>
      <c r="T46" s="1">
        <f t="shared" si="21"/>
        <v>0.9986495618</v>
      </c>
      <c r="U46" s="1">
        <f t="shared" si="21"/>
        <v>0.9910400313</v>
      </c>
      <c r="V46" s="1">
        <f t="shared" si="21"/>
        <v>0.9744585216</v>
      </c>
      <c r="W46" s="1">
        <f t="shared" si="21"/>
        <v>0.9987154418</v>
      </c>
      <c r="X46" s="1">
        <f t="shared" si="21"/>
        <v>0.9899086761</v>
      </c>
      <c r="Y46" s="1">
        <f t="shared" si="21"/>
        <v>0.9807613625</v>
      </c>
      <c r="Z46" s="1">
        <f t="shared" si="21"/>
        <v>0.9914934413</v>
      </c>
      <c r="AA46" s="1">
        <f t="shared" si="21"/>
        <v>0.9894525096</v>
      </c>
      <c r="AB46" s="1">
        <f t="shared" si="21"/>
        <v>1.00629726</v>
      </c>
    </row>
    <row r="47" ht="12.75" customHeight="1">
      <c r="C47" s="1">
        <f t="shared" si="8"/>
        <v>1.031211499</v>
      </c>
      <c r="D47" s="1">
        <f t="shared" si="9"/>
        <v>1.028904055</v>
      </c>
      <c r="E47" s="1">
        <f t="shared" si="10"/>
        <v>1.047020673</v>
      </c>
      <c r="F47" s="1">
        <f t="shared" si="11"/>
        <v>0.8747569039</v>
      </c>
      <c r="G47" s="1">
        <f t="shared" si="12"/>
        <v>0.5267410543</v>
      </c>
      <c r="H47" s="1">
        <f t="shared" si="13"/>
        <v>0.4947856315</v>
      </c>
      <c r="I47" s="1">
        <f t="shared" si="14"/>
        <v>0.6862159133</v>
      </c>
      <c r="J47" s="1">
        <f t="shared" si="15"/>
        <v>0.3765548436</v>
      </c>
      <c r="K47" s="1">
        <f t="shared" si="16"/>
        <v>0.4080614203</v>
      </c>
      <c r="L47" s="1">
        <f t="shared" si="17"/>
        <v>0.6551443676</v>
      </c>
      <c r="M47" s="1">
        <f t="shared" si="18"/>
        <v>0.2864646465</v>
      </c>
      <c r="N47" s="1">
        <f t="shared" si="19"/>
        <v>0.2807385648</v>
      </c>
      <c r="P47" s="1" t="s">
        <v>41</v>
      </c>
      <c r="Q47" s="1">
        <f t="shared" ref="Q47:AB47" si="22">AVERAGE(C46,C55,C64)</f>
        <v>0.9966879451</v>
      </c>
      <c r="R47" s="1">
        <f t="shared" si="22"/>
        <v>1.062158953</v>
      </c>
      <c r="S47" s="1">
        <f t="shared" si="22"/>
        <v>1.017673039</v>
      </c>
      <c r="T47" s="1">
        <f t="shared" si="22"/>
        <v>0.9857135831</v>
      </c>
      <c r="U47" s="1">
        <f t="shared" si="22"/>
        <v>1.018084899</v>
      </c>
      <c r="V47" s="1">
        <f t="shared" si="22"/>
        <v>1.016562979</v>
      </c>
      <c r="W47" s="1">
        <f t="shared" si="22"/>
        <v>1.00842808</v>
      </c>
      <c r="X47" s="1">
        <f t="shared" si="22"/>
        <v>0.9849035037</v>
      </c>
      <c r="Y47" s="1">
        <f t="shared" si="22"/>
        <v>0.9844146393</v>
      </c>
      <c r="Z47" s="1">
        <f t="shared" si="22"/>
        <v>1.018332259</v>
      </c>
      <c r="AA47" s="1">
        <f t="shared" si="22"/>
        <v>0.9870627852</v>
      </c>
      <c r="AB47" s="1">
        <f t="shared" si="22"/>
        <v>0.9825019084</v>
      </c>
    </row>
    <row r="48" ht="12.75" customHeight="1">
      <c r="C48" s="1">
        <f t="shared" si="8"/>
        <v>1.013963039</v>
      </c>
      <c r="D48" s="1">
        <f t="shared" si="9"/>
        <v>0.9807306303</v>
      </c>
      <c r="E48" s="1">
        <f t="shared" si="10"/>
        <v>1.039724362</v>
      </c>
      <c r="F48" s="1">
        <f t="shared" si="11"/>
        <v>0.303772851</v>
      </c>
      <c r="G48" s="1">
        <f t="shared" si="12"/>
        <v>0.2027702963</v>
      </c>
      <c r="H48" s="1">
        <f t="shared" si="13"/>
        <v>0.2027809965</v>
      </c>
      <c r="I48" s="1">
        <f t="shared" si="14"/>
        <v>0.2536421367</v>
      </c>
      <c r="J48" s="1">
        <f t="shared" si="15"/>
        <v>0.1782887297</v>
      </c>
      <c r="K48" s="1">
        <f t="shared" si="16"/>
        <v>0.1900191939</v>
      </c>
      <c r="L48" s="1">
        <f t="shared" si="17"/>
        <v>0.2257015047</v>
      </c>
      <c r="M48" s="1">
        <f t="shared" si="18"/>
        <v>0.1490909091</v>
      </c>
      <c r="N48" s="1">
        <f t="shared" si="19"/>
        <v>0.1154007554</v>
      </c>
      <c r="P48" s="1" t="s">
        <v>42</v>
      </c>
      <c r="Q48" s="1">
        <f t="shared" ref="Q48:AB48" si="23">AVERAGE(C47,C56,C65)</f>
        <v>1.003813761</v>
      </c>
      <c r="R48" s="1">
        <f t="shared" si="23"/>
        <v>1.012828085</v>
      </c>
      <c r="S48" s="1">
        <f t="shared" si="23"/>
        <v>1.007876353</v>
      </c>
      <c r="T48" s="1">
        <f t="shared" si="23"/>
        <v>0.8638957153</v>
      </c>
      <c r="U48" s="1">
        <f t="shared" si="23"/>
        <v>0.5345659348</v>
      </c>
      <c r="V48" s="1">
        <f t="shared" si="23"/>
        <v>0.5086203791</v>
      </c>
      <c r="W48" s="1">
        <f t="shared" si="23"/>
        <v>0.6924937897</v>
      </c>
      <c r="X48" s="1">
        <f t="shared" si="23"/>
        <v>0.3805610162</v>
      </c>
      <c r="Y48" s="1">
        <f t="shared" si="23"/>
        <v>0.4035133762</v>
      </c>
      <c r="Z48" s="1">
        <f t="shared" si="23"/>
        <v>0.6618963375</v>
      </c>
      <c r="AA48" s="1">
        <f t="shared" si="23"/>
        <v>0.3003831283</v>
      </c>
      <c r="AB48" s="1">
        <f t="shared" si="23"/>
        <v>0.310236969</v>
      </c>
    </row>
    <row r="49" ht="12.75" customHeight="1">
      <c r="C49" s="1">
        <f t="shared" si="8"/>
        <v>0.9507186858</v>
      </c>
      <c r="D49" s="1">
        <f t="shared" si="9"/>
        <v>0.7117623444</v>
      </c>
      <c r="E49" s="1">
        <f t="shared" si="10"/>
        <v>0.7576003243</v>
      </c>
      <c r="F49" s="1">
        <f t="shared" si="11"/>
        <v>0.1131855309</v>
      </c>
      <c r="G49" s="1">
        <f t="shared" si="12"/>
        <v>0.08580223163</v>
      </c>
      <c r="H49" s="1">
        <f t="shared" si="13"/>
        <v>0.09308613364</v>
      </c>
      <c r="I49" s="1">
        <f t="shared" si="14"/>
        <v>0.128875607</v>
      </c>
      <c r="J49" s="1">
        <f t="shared" si="15"/>
        <v>0.1066716924</v>
      </c>
      <c r="K49" s="1">
        <f t="shared" si="16"/>
        <v>0.1063339731</v>
      </c>
      <c r="L49" s="1">
        <f t="shared" si="17"/>
        <v>0.1142740952</v>
      </c>
      <c r="M49" s="1">
        <f t="shared" si="18"/>
        <v>0.08525252525</v>
      </c>
      <c r="N49" s="1">
        <f t="shared" si="19"/>
        <v>0.04657994125</v>
      </c>
      <c r="P49" s="1" t="s">
        <v>43</v>
      </c>
      <c r="Q49" s="1">
        <f t="shared" ref="Q49:AB49" si="24">AVERAGE(C48,C57,C66)</f>
        <v>0.9887863353</v>
      </c>
      <c r="R49" s="1">
        <f t="shared" si="24"/>
        <v>0.9809020656</v>
      </c>
      <c r="S49" s="1">
        <f t="shared" si="24"/>
        <v>0.9901125904</v>
      </c>
      <c r="T49" s="1">
        <f t="shared" si="24"/>
        <v>0.3232051472</v>
      </c>
      <c r="U49" s="1">
        <f t="shared" si="24"/>
        <v>0.2177913377</v>
      </c>
      <c r="V49" s="1">
        <f t="shared" si="24"/>
        <v>0.2175600127</v>
      </c>
      <c r="W49" s="1">
        <f t="shared" si="24"/>
        <v>0.2525262931</v>
      </c>
      <c r="X49" s="1">
        <f t="shared" si="24"/>
        <v>0.1781447107</v>
      </c>
      <c r="Y49" s="1">
        <f t="shared" si="24"/>
        <v>0.1912812213</v>
      </c>
      <c r="Z49" s="1">
        <f t="shared" si="24"/>
        <v>0.2207436417</v>
      </c>
      <c r="AA49" s="1">
        <f t="shared" si="24"/>
        <v>0.149719245</v>
      </c>
      <c r="AB49" s="1">
        <f t="shared" si="24"/>
        <v>0.1343055408</v>
      </c>
    </row>
    <row r="50" ht="12.75" customHeight="1">
      <c r="C50" s="1">
        <f t="shared" si="8"/>
        <v>0.4012320329</v>
      </c>
      <c r="D50" s="1">
        <f t="shared" si="9"/>
        <v>0.1441188278</v>
      </c>
      <c r="E50" s="1">
        <f t="shared" si="10"/>
        <v>0.1503850831</v>
      </c>
      <c r="F50" s="1">
        <f t="shared" si="11"/>
        <v>0.03461688059</v>
      </c>
      <c r="G50" s="1">
        <f t="shared" si="12"/>
        <v>0.02193151212</v>
      </c>
      <c r="H50" s="1">
        <f t="shared" si="13"/>
        <v>0.02047122441</v>
      </c>
      <c r="I50" s="1">
        <f t="shared" si="14"/>
        <v>0.06163615988</v>
      </c>
      <c r="J50" s="1">
        <f t="shared" si="15"/>
        <v>0.04787033547</v>
      </c>
      <c r="K50" s="1">
        <f t="shared" si="16"/>
        <v>0.04952015355</v>
      </c>
      <c r="L50" s="1">
        <f t="shared" si="17"/>
        <v>0.05164701098</v>
      </c>
      <c r="M50" s="1">
        <f t="shared" si="18"/>
        <v>0.03353535354</v>
      </c>
      <c r="N50" s="1">
        <f t="shared" si="19"/>
        <v>0.02727654217</v>
      </c>
      <c r="P50" s="1" t="s">
        <v>44</v>
      </c>
      <c r="Q50" s="1">
        <f t="shared" ref="Q50:AB50" si="25">AVERAGE(C49,C58,C67)</f>
        <v>0.9825477914</v>
      </c>
      <c r="R50" s="1">
        <f t="shared" si="25"/>
        <v>0.7241256363</v>
      </c>
      <c r="S50" s="1">
        <f t="shared" si="25"/>
        <v>0.7111830847</v>
      </c>
      <c r="T50" s="1">
        <f t="shared" si="25"/>
        <v>0.1282578494</v>
      </c>
      <c r="U50" s="1">
        <f t="shared" si="25"/>
        <v>0.08720345468</v>
      </c>
      <c r="V50" s="1">
        <f t="shared" si="25"/>
        <v>0.09147057686</v>
      </c>
      <c r="W50" s="1">
        <f t="shared" si="25"/>
        <v>0.1219147546</v>
      </c>
      <c r="X50" s="1">
        <f t="shared" si="25"/>
        <v>0.1000036482</v>
      </c>
      <c r="Y50" s="1">
        <f t="shared" si="25"/>
        <v>0.1063310336</v>
      </c>
      <c r="Z50" s="1">
        <f t="shared" si="25"/>
        <v>0.1089337505</v>
      </c>
      <c r="AA50" s="1">
        <f t="shared" si="25"/>
        <v>0.08083976534</v>
      </c>
      <c r="AB50" s="1">
        <f t="shared" si="25"/>
        <v>0.06281190491</v>
      </c>
    </row>
    <row r="51" ht="12.75" customHeight="1">
      <c r="P51" s="1" t="s">
        <v>45</v>
      </c>
      <c r="Q51" s="1">
        <f t="shared" ref="Q51:AB51" si="26">AVERAGE(C50,C59,C68)</f>
        <v>0.3867420897</v>
      </c>
      <c r="R51" s="1">
        <f t="shared" si="26"/>
        <v>0.1532969653</v>
      </c>
      <c r="S51" s="1">
        <f t="shared" si="26"/>
        <v>0.155622927</v>
      </c>
      <c r="T51" s="1">
        <f t="shared" si="26"/>
        <v>0.03794290062</v>
      </c>
      <c r="U51" s="1">
        <f t="shared" si="26"/>
        <v>0.0156955899</v>
      </c>
      <c r="V51" s="1">
        <f t="shared" si="26"/>
        <v>0.02134257694</v>
      </c>
      <c r="W51" s="1">
        <f t="shared" si="26"/>
        <v>0.06270132517</v>
      </c>
      <c r="X51" s="1">
        <f t="shared" si="26"/>
        <v>0.0519334303</v>
      </c>
      <c r="Y51" s="1">
        <f t="shared" si="26"/>
        <v>0.0492550121</v>
      </c>
      <c r="Z51" s="1">
        <f t="shared" si="26"/>
        <v>0.0363912523</v>
      </c>
      <c r="AA51" s="1">
        <f t="shared" si="26"/>
        <v>0.02046196282</v>
      </c>
      <c r="AB51" s="1">
        <f t="shared" si="26"/>
        <v>0.0240172878</v>
      </c>
    </row>
    <row r="52" ht="12.75" customHeight="1"/>
    <row r="53" ht="12.75" customHeight="1">
      <c r="C53" s="1">
        <v>1.0</v>
      </c>
      <c r="D53" s="1">
        <v>1.0</v>
      </c>
      <c r="E53" s="1">
        <v>1.0</v>
      </c>
      <c r="F53" s="1">
        <v>1.0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  <c r="L53" s="1">
        <v>1.0</v>
      </c>
      <c r="M53" s="1">
        <v>1.0</v>
      </c>
      <c r="N53" s="1">
        <v>1.0</v>
      </c>
    </row>
    <row r="54" ht="12.75" customHeight="1">
      <c r="C54" s="1">
        <v>0.9843157757155927</v>
      </c>
      <c r="D54" s="1">
        <v>0.9862507956715469</v>
      </c>
      <c r="E54" s="1">
        <v>0.9706362153344208</v>
      </c>
      <c r="F54" s="1">
        <v>0.9797626483447848</v>
      </c>
      <c r="G54" s="1">
        <v>0.9870935087941289</v>
      </c>
      <c r="H54" s="1">
        <v>0.9751724137931035</v>
      </c>
      <c r="I54" s="1">
        <v>0.9804229607250757</v>
      </c>
      <c r="J54" s="1">
        <v>0.9882883981944613</v>
      </c>
      <c r="K54" s="1">
        <v>0.9741347456583322</v>
      </c>
      <c r="L54" s="1">
        <v>0.9596764156813937</v>
      </c>
      <c r="M54" s="1">
        <v>0.972267332916927</v>
      </c>
      <c r="N54" s="1">
        <v>0.9817235689808351</v>
      </c>
    </row>
    <row r="55" ht="12.75" customHeight="1">
      <c r="C55" s="1">
        <v>0.9890210430009148</v>
      </c>
      <c r="D55" s="1">
        <v>0.9954169318905157</v>
      </c>
      <c r="E55" s="1">
        <v>0.9668716275567825</v>
      </c>
      <c r="F55" s="1">
        <v>0.9550281074328544</v>
      </c>
      <c r="G55" s="1">
        <v>1.0053144375553589</v>
      </c>
      <c r="H55" s="1">
        <v>0.9917241379310344</v>
      </c>
      <c r="I55" s="1">
        <v>1.0021752265861028</v>
      </c>
      <c r="J55" s="1">
        <v>0.9838965475173845</v>
      </c>
      <c r="K55" s="1">
        <v>0.988914890996428</v>
      </c>
      <c r="L55" s="1">
        <v>0.9902924704418168</v>
      </c>
      <c r="M55" s="1">
        <v>0.9550281074328544</v>
      </c>
      <c r="N55" s="1">
        <v>0.9634471379616703</v>
      </c>
    </row>
    <row r="56" ht="12.75" customHeight="1">
      <c r="C56" s="1">
        <v>0.993726310286237</v>
      </c>
      <c r="D56" s="1">
        <v>1.0</v>
      </c>
      <c r="E56" s="1">
        <v>0.9954824946668338</v>
      </c>
      <c r="F56" s="1">
        <v>0.8575890068707058</v>
      </c>
      <c r="G56" s="1">
        <v>0.5475136024294571</v>
      </c>
      <c r="H56" s="1">
        <v>0.5049529780564264</v>
      </c>
      <c r="I56" s="1">
        <v>0.7106948640483386</v>
      </c>
      <c r="J56" s="1">
        <v>0.3836769549835306</v>
      </c>
      <c r="K56" s="1">
        <v>0.41840128094592927</v>
      </c>
      <c r="L56" s="1">
        <v>0.6923459863098941</v>
      </c>
      <c r="M56" s="1">
        <v>0.31193004372267336</v>
      </c>
      <c r="N56" s="1">
        <v>0.32834116004569114</v>
      </c>
    </row>
    <row r="57" ht="12.75" customHeight="1">
      <c r="C57" s="1">
        <v>0.9333420467912692</v>
      </c>
      <c r="D57" s="1">
        <v>0.9404201145767028</v>
      </c>
      <c r="E57" s="1">
        <v>0.9510603588907015</v>
      </c>
      <c r="F57" s="1">
        <v>0.3314178638351031</v>
      </c>
      <c r="G57" s="1">
        <v>0.217259268632165</v>
      </c>
      <c r="H57" s="1">
        <v>0.21830721003134795</v>
      </c>
      <c r="I57" s="1">
        <v>0.24519637462235655</v>
      </c>
      <c r="J57" s="1">
        <v>0.17213614737098937</v>
      </c>
      <c r="K57" s="1">
        <v>0.18857002093853922</v>
      </c>
      <c r="L57" s="1">
        <v>0.20995644057249527</v>
      </c>
      <c r="M57" s="1">
        <v>0.14178638351030606</v>
      </c>
      <c r="N57" s="1">
        <v>0.13567711638532806</v>
      </c>
    </row>
    <row r="58" ht="12.75" customHeight="1">
      <c r="C58" s="1">
        <v>0.8635472487256568</v>
      </c>
      <c r="D58" s="1">
        <v>0.6929344366645448</v>
      </c>
      <c r="E58" s="1">
        <v>0.6913038022336554</v>
      </c>
      <c r="F58" s="1">
        <v>0.13204247345409117</v>
      </c>
      <c r="G58" s="1">
        <v>0.0897127673035556</v>
      </c>
      <c r="H58" s="1">
        <v>0.08965517241379309</v>
      </c>
      <c r="I58" s="1">
        <v>0.11033232628398794</v>
      </c>
      <c r="J58" s="1">
        <v>0.08722703428083445</v>
      </c>
      <c r="K58" s="1">
        <v>0.10432319251139303</v>
      </c>
      <c r="L58" s="1">
        <v>0.10093341630367142</v>
      </c>
      <c r="M58" s="1">
        <v>0.073579013116802</v>
      </c>
      <c r="N58" s="1">
        <v>0.07170960781825103</v>
      </c>
    </row>
    <row r="59" ht="12.75" customHeight="1">
      <c r="C59" s="1">
        <v>0.36792576133838706</v>
      </c>
      <c r="D59" s="1">
        <v>0.1452577975811585</v>
      </c>
      <c r="E59" s="1">
        <v>0.1469444095871502</v>
      </c>
      <c r="F59" s="1">
        <v>0.0316052467207995</v>
      </c>
      <c r="G59" s="1">
        <v>0.00468176641781601</v>
      </c>
      <c r="H59" s="1">
        <v>0.011410658307210008</v>
      </c>
      <c r="I59" s="1">
        <v>0.060302114803625365</v>
      </c>
      <c r="J59" s="1">
        <v>0.040380627058679994</v>
      </c>
      <c r="K59" s="1">
        <v>0.03411750215543784</v>
      </c>
      <c r="L59" s="1">
        <v>0.02028624766645922</v>
      </c>
      <c r="M59" s="1">
        <v>0.004622111180512171</v>
      </c>
      <c r="N59" s="1">
        <v>0.01307272496509707</v>
      </c>
    </row>
    <row r="60" ht="12.75" customHeight="1"/>
    <row r="61" ht="12.75" customHeight="1"/>
    <row r="62" ht="12.75" customHeight="1">
      <c r="C62" s="1">
        <v>1.0</v>
      </c>
      <c r="D62" s="1">
        <v>1.0</v>
      </c>
      <c r="E62" s="1">
        <v>1.0</v>
      </c>
      <c r="F62" s="1">
        <v>1.0</v>
      </c>
      <c r="G62" s="1">
        <v>1.0</v>
      </c>
      <c r="H62" s="1">
        <v>1.0</v>
      </c>
      <c r="I62" s="1">
        <v>1.0</v>
      </c>
      <c r="J62" s="1">
        <v>1.0</v>
      </c>
      <c r="K62" s="1">
        <v>1.0</v>
      </c>
      <c r="L62" s="1">
        <v>1.0</v>
      </c>
      <c r="M62" s="1">
        <v>1.0</v>
      </c>
      <c r="N62" s="1">
        <v>1.0</v>
      </c>
    </row>
    <row r="63" ht="12.75" customHeight="1">
      <c r="C63" s="1">
        <v>0.9356930201786305</v>
      </c>
      <c r="D63" s="1">
        <v>0.9616791963275896</v>
      </c>
      <c r="E63" s="1">
        <v>0.9559604168031981</v>
      </c>
      <c r="F63" s="1">
        <v>0.9850697400301225</v>
      </c>
      <c r="G63" s="1">
        <v>0.9767922640880294</v>
      </c>
      <c r="H63" s="1">
        <v>0.9443406558010693</v>
      </c>
      <c r="I63" s="1">
        <v>1.0015283703750875</v>
      </c>
      <c r="J63" s="1">
        <v>0.9791760395912334</v>
      </c>
      <c r="K63" s="1">
        <v>0.952794255385576</v>
      </c>
      <c r="L63" s="1">
        <v>0.9440434366017247</v>
      </c>
      <c r="M63" s="1">
        <v>0.9678073676634169</v>
      </c>
      <c r="N63" s="1">
        <v>0.9599546152305947</v>
      </c>
    </row>
    <row r="64" ht="12.75" customHeight="1">
      <c r="C64" s="1">
        <v>0.9698312934171353</v>
      </c>
      <c r="D64" s="1">
        <v>1.1460980640010643</v>
      </c>
      <c r="E64" s="1">
        <v>1.0456124254538306</v>
      </c>
      <c r="F64" s="1">
        <v>0.9779975116233385</v>
      </c>
      <c r="G64" s="1">
        <v>1.0320106702234078</v>
      </c>
      <c r="H64" s="1">
        <v>1.0386523223603685</v>
      </c>
      <c r="I64" s="1">
        <v>0.9977074444373687</v>
      </c>
      <c r="J64" s="1">
        <v>0.9760910084195643</v>
      </c>
      <c r="K64" s="1">
        <v>0.9520449578520138</v>
      </c>
      <c r="L64" s="1">
        <v>0.9793037368252955</v>
      </c>
      <c r="M64" s="1">
        <v>0.9827259045998822</v>
      </c>
      <c r="N64" s="1">
        <v>0.9823800307014616</v>
      </c>
    </row>
    <row r="65" ht="12.75" customHeight="1">
      <c r="C65" s="1">
        <v>0.9865034733708238</v>
      </c>
      <c r="D65" s="1">
        <v>1.0095802009181025</v>
      </c>
      <c r="E65" s="1">
        <v>0.9811258929156563</v>
      </c>
      <c r="F65" s="1">
        <v>0.8593412350206274</v>
      </c>
      <c r="G65" s="1">
        <v>0.5294431477159053</v>
      </c>
      <c r="H65" s="1">
        <v>0.5261225278618824</v>
      </c>
      <c r="I65" s="1">
        <v>0.6805705916066994</v>
      </c>
      <c r="J65" s="1">
        <v>0.38145125008033937</v>
      </c>
      <c r="K65" s="1">
        <v>0.3840774274118014</v>
      </c>
      <c r="L65" s="1">
        <v>0.638198658575535</v>
      </c>
      <c r="M65" s="1">
        <v>0.30275469475888245</v>
      </c>
      <c r="N65" s="1">
        <v>0.3216311820062738</v>
      </c>
    </row>
    <row r="66" ht="12.75" customHeight="1">
      <c r="C66" s="1">
        <v>1.0190539199470725</v>
      </c>
      <c r="D66" s="1">
        <v>1.0215554520657308</v>
      </c>
      <c r="E66" s="1">
        <v>0.9795530506586276</v>
      </c>
      <c r="F66" s="1">
        <v>0.33442472660598527</v>
      </c>
      <c r="G66" s="1">
        <v>0.23334444814938315</v>
      </c>
      <c r="H66" s="1">
        <v>0.23159183147587453</v>
      </c>
      <c r="I66" s="1">
        <v>0.25874036808253204</v>
      </c>
      <c r="J66" s="1">
        <v>0.18400925509351507</v>
      </c>
      <c r="K66" s="1">
        <v>0.19525444895410554</v>
      </c>
      <c r="L66" s="1">
        <v>0.22657297987863306</v>
      </c>
      <c r="M66" s="1">
        <v>0.15828044232153374</v>
      </c>
      <c r="N66" s="1">
        <v>0.15183875058399518</v>
      </c>
    </row>
    <row r="67" ht="12.75" customHeight="1">
      <c r="C67" s="1">
        <v>1.133377439629507</v>
      </c>
      <c r="D67" s="1">
        <v>0.7676801277360121</v>
      </c>
      <c r="E67" s="1">
        <v>0.6846451274657579</v>
      </c>
      <c r="F67" s="1">
        <v>0.1395455438412678</v>
      </c>
      <c r="G67" s="1">
        <v>0.08609536512170723</v>
      </c>
      <c r="H67" s="1">
        <v>0.0916704245313406</v>
      </c>
      <c r="I67" s="1">
        <v>0.12653633063745784</v>
      </c>
      <c r="J67" s="1">
        <v>0.10611221800886948</v>
      </c>
      <c r="K67" s="1">
        <v>0.10833593506088043</v>
      </c>
      <c r="L67" s="1">
        <v>0.11159374001916322</v>
      </c>
      <c r="M67" s="1">
        <v>0.08368775763920695</v>
      </c>
      <c r="N67" s="1">
        <v>0.07014616565440833</v>
      </c>
    </row>
    <row r="68" ht="12.75" customHeight="1">
      <c r="C68" s="1">
        <v>0.3910684750248098</v>
      </c>
      <c r="D68" s="1">
        <v>0.17051427050761758</v>
      </c>
      <c r="E68" s="1">
        <v>0.1695392882888787</v>
      </c>
      <c r="F68" s="1">
        <v>0.04760657455307446</v>
      </c>
      <c r="G68" s="1">
        <v>0.02047349116372124</v>
      </c>
      <c r="H68" s="1">
        <v>0.032145848096373116</v>
      </c>
      <c r="I68" s="1">
        <v>0.06616570082149908</v>
      </c>
      <c r="J68" s="1">
        <v>0.06754932836300534</v>
      </c>
      <c r="K68" s="1">
        <v>0.06412738058070559</v>
      </c>
      <c r="L68" s="1">
        <v>0.03724049824337272</v>
      </c>
      <c r="M68" s="1">
        <v>0.023228423738794742</v>
      </c>
      <c r="N68" s="1">
        <v>0.031702596275779205</v>
      </c>
    </row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Q45:AB51">
    <cfRule type="colorScale" priority="1">
      <colorScale>
        <cfvo type="formula" val="0"/>
        <cfvo type="formula" val="1"/>
        <color theme="1"/>
        <color theme="4"/>
      </colorScale>
    </cfRule>
  </conditionalFormatting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26" width="9.13"/>
  </cols>
  <sheetData>
    <row r="1" ht="12.75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2.75" customHeight="1">
      <c r="A2" s="23" t="s">
        <v>0</v>
      </c>
      <c r="B2" s="23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2.7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2.75" customHeight="1">
      <c r="A4" s="23" t="s">
        <v>2</v>
      </c>
      <c r="B4" s="23" t="s">
        <v>3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2.75" customHeight="1">
      <c r="A5" s="23" t="s">
        <v>4</v>
      </c>
      <c r="B5" s="23" t="s">
        <v>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2.75" customHeight="1">
      <c r="A6" s="23" t="s">
        <v>6</v>
      </c>
      <c r="B6" s="23" t="s">
        <v>46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2.75" customHeight="1">
      <c r="A7" s="23" t="s">
        <v>8</v>
      </c>
      <c r="B7" s="2">
        <v>46106.0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2.75" customHeight="1">
      <c r="A8" s="23" t="s">
        <v>9</v>
      </c>
      <c r="B8" s="3">
        <v>0.6321296296296296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2.75" customHeight="1">
      <c r="A9" s="23" t="s">
        <v>10</v>
      </c>
      <c r="B9" s="23" t="s">
        <v>11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2.75" customHeight="1">
      <c r="A10" s="23" t="s">
        <v>12</v>
      </c>
      <c r="B10" s="23">
        <v>2.5030902E7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2.75" customHeight="1">
      <c r="A11" s="23" t="s">
        <v>13</v>
      </c>
      <c r="B11" s="23" t="s">
        <v>14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2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2.75" customHeight="1">
      <c r="A13" s="4" t="s">
        <v>15</v>
      </c>
      <c r="B13" s="5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2.75" customHeight="1">
      <c r="A14" s="23" t="s">
        <v>16</v>
      </c>
      <c r="B14" s="23" t="s">
        <v>17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2.75" customHeight="1">
      <c r="A15" s="23" t="s">
        <v>18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2.75" customHeight="1">
      <c r="A16" s="23" t="s">
        <v>19</v>
      </c>
      <c r="B16" s="23" t="s">
        <v>20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2.75" customHeight="1">
      <c r="A17" s="23"/>
      <c r="B17" s="23" t="s">
        <v>21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2.75" customHeight="1">
      <c r="A18" s="23"/>
      <c r="B18" s="23" t="s">
        <v>22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2.75" customHeight="1">
      <c r="A19" s="23"/>
      <c r="B19" s="23" t="s">
        <v>23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2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2.75" customHeight="1">
      <c r="A21" s="4" t="s">
        <v>24</v>
      </c>
      <c r="B21" s="5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2.75" customHeight="1">
      <c r="A22" s="23" t="s">
        <v>25</v>
      </c>
      <c r="B22" s="23">
        <v>26.3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2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2.75" customHeight="1">
      <c r="A24" s="23"/>
      <c r="B24" s="6"/>
      <c r="C24" s="7">
        <v>1.0</v>
      </c>
      <c r="D24" s="7">
        <v>2.0</v>
      </c>
      <c r="E24" s="7">
        <v>3.0</v>
      </c>
      <c r="F24" s="7">
        <v>4.0</v>
      </c>
      <c r="G24" s="7">
        <v>5.0</v>
      </c>
      <c r="H24" s="7">
        <v>6.0</v>
      </c>
      <c r="I24" s="7">
        <v>7.0</v>
      </c>
      <c r="J24" s="7">
        <v>8.0</v>
      </c>
      <c r="K24" s="7">
        <v>9.0</v>
      </c>
      <c r="L24" s="7">
        <v>10.0</v>
      </c>
      <c r="M24" s="7">
        <v>11.0</v>
      </c>
      <c r="N24" s="7">
        <v>12.0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2.75" customHeight="1">
      <c r="A25" s="23"/>
      <c r="B25" s="7" t="s">
        <v>26</v>
      </c>
      <c r="C25" s="8">
        <v>0.099</v>
      </c>
      <c r="D25" s="8">
        <v>0.125</v>
      </c>
      <c r="E25" s="8">
        <v>0.132</v>
      </c>
      <c r="F25" s="8">
        <v>0.132</v>
      </c>
      <c r="G25" s="8">
        <v>0.133</v>
      </c>
      <c r="H25" s="8">
        <v>0.131</v>
      </c>
      <c r="I25" s="8">
        <v>0.13</v>
      </c>
      <c r="J25" s="8">
        <v>0.128</v>
      </c>
      <c r="K25" s="8">
        <v>0.13</v>
      </c>
      <c r="L25" s="8">
        <v>0.14</v>
      </c>
      <c r="M25" s="8">
        <v>0.13</v>
      </c>
      <c r="N25" s="8">
        <v>0.1</v>
      </c>
      <c r="O25" s="9">
        <v>600.0</v>
      </c>
      <c r="P25" s="23">
        <f>AVERAGE(C25:N25)</f>
        <v>0.1258333333</v>
      </c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2.75" customHeight="1">
      <c r="A26" s="23"/>
      <c r="B26" s="7" t="s">
        <v>27</v>
      </c>
      <c r="C26" s="10">
        <v>1.401</v>
      </c>
      <c r="D26" s="11">
        <v>1.435</v>
      </c>
      <c r="E26" s="11">
        <v>1.454</v>
      </c>
      <c r="F26" s="11">
        <v>1.46</v>
      </c>
      <c r="G26" s="11">
        <v>1.443</v>
      </c>
      <c r="H26" s="11">
        <v>1.455</v>
      </c>
      <c r="I26" s="11">
        <v>1.505</v>
      </c>
      <c r="J26" s="11">
        <v>1.492</v>
      </c>
      <c r="K26" s="11">
        <v>1.479</v>
      </c>
      <c r="L26" s="11">
        <v>1.465</v>
      </c>
      <c r="M26" s="11">
        <v>1.46</v>
      </c>
      <c r="N26" s="11">
        <v>1.439</v>
      </c>
      <c r="O26" s="9">
        <v>600.0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2.75" customHeight="1">
      <c r="A27" s="23"/>
      <c r="B27" s="7" t="s">
        <v>28</v>
      </c>
      <c r="C27" s="10">
        <v>1.381</v>
      </c>
      <c r="D27" s="11">
        <v>1.417</v>
      </c>
      <c r="E27" s="11">
        <v>1.415</v>
      </c>
      <c r="F27" s="11">
        <v>1.433</v>
      </c>
      <c r="G27" s="11">
        <v>1.426</v>
      </c>
      <c r="H27" s="11">
        <v>1.422</v>
      </c>
      <c r="I27" s="11">
        <v>1.478</v>
      </c>
      <c r="J27" s="11">
        <v>1.476</v>
      </c>
      <c r="K27" s="11">
        <v>1.444</v>
      </c>
      <c r="L27" s="11">
        <v>1.411</v>
      </c>
      <c r="M27" s="11">
        <v>1.423</v>
      </c>
      <c r="N27" s="11">
        <v>1.415</v>
      </c>
      <c r="O27" s="9">
        <v>600.0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2.75" customHeight="1">
      <c r="A28" s="23"/>
      <c r="B28" s="7" t="s">
        <v>29</v>
      </c>
      <c r="C28" s="10">
        <v>1.387</v>
      </c>
      <c r="D28" s="11">
        <v>1.429</v>
      </c>
      <c r="E28" s="11">
        <v>1.41</v>
      </c>
      <c r="F28" s="10">
        <v>1.4</v>
      </c>
      <c r="G28" s="11">
        <v>1.45</v>
      </c>
      <c r="H28" s="11">
        <v>1.444</v>
      </c>
      <c r="I28" s="11">
        <v>1.508</v>
      </c>
      <c r="J28" s="11">
        <v>1.47</v>
      </c>
      <c r="K28" s="11">
        <v>1.464</v>
      </c>
      <c r="L28" s="11">
        <v>1.452</v>
      </c>
      <c r="M28" s="10">
        <v>1.4</v>
      </c>
      <c r="N28" s="10">
        <v>1.391</v>
      </c>
      <c r="O28" s="9">
        <v>600.0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2.75" customHeight="1">
      <c r="A29" s="23"/>
      <c r="B29" s="7" t="s">
        <v>30</v>
      </c>
      <c r="C29" s="10">
        <v>1.393</v>
      </c>
      <c r="D29" s="11">
        <v>1.435</v>
      </c>
      <c r="E29" s="11">
        <v>1.448</v>
      </c>
      <c r="F29" s="12">
        <v>1.27</v>
      </c>
      <c r="G29" s="13">
        <v>0.847</v>
      </c>
      <c r="H29" s="14">
        <v>0.797</v>
      </c>
      <c r="I29" s="24">
        <v>1.106</v>
      </c>
      <c r="J29" s="16">
        <v>0.65</v>
      </c>
      <c r="K29" s="16">
        <v>0.692</v>
      </c>
      <c r="L29" s="15">
        <v>1.053</v>
      </c>
      <c r="M29" s="19">
        <v>0.542</v>
      </c>
      <c r="N29" s="19">
        <v>0.557</v>
      </c>
      <c r="O29" s="9">
        <v>600.0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2.75" customHeight="1">
      <c r="A30" s="23"/>
      <c r="B30" s="7" t="s">
        <v>31</v>
      </c>
      <c r="C30" s="10">
        <v>1.316</v>
      </c>
      <c r="D30" s="10">
        <v>1.357</v>
      </c>
      <c r="E30" s="10">
        <v>1.389</v>
      </c>
      <c r="F30" s="19">
        <v>0.568</v>
      </c>
      <c r="G30" s="18">
        <v>0.412</v>
      </c>
      <c r="H30" s="18">
        <v>0.416</v>
      </c>
      <c r="I30" s="18">
        <v>0.464</v>
      </c>
      <c r="J30" s="20">
        <v>0.361</v>
      </c>
      <c r="K30" s="20">
        <v>0.381</v>
      </c>
      <c r="L30" s="18">
        <v>0.407</v>
      </c>
      <c r="M30" s="20">
        <v>0.315</v>
      </c>
      <c r="N30" s="20">
        <v>0.304</v>
      </c>
      <c r="O30" s="9">
        <v>600.0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2.75" customHeight="1">
      <c r="A31" s="23"/>
      <c r="B31" s="7" t="s">
        <v>32</v>
      </c>
      <c r="C31" s="12">
        <v>1.227</v>
      </c>
      <c r="D31" s="15">
        <v>1.033</v>
      </c>
      <c r="E31" s="15">
        <v>1.044</v>
      </c>
      <c r="F31" s="20">
        <v>0.302</v>
      </c>
      <c r="G31" s="21">
        <v>0.244</v>
      </c>
      <c r="H31" s="21">
        <v>0.245</v>
      </c>
      <c r="I31" s="21">
        <v>0.278</v>
      </c>
      <c r="J31" s="21">
        <v>0.245</v>
      </c>
      <c r="K31" s="21">
        <v>0.267</v>
      </c>
      <c r="L31" s="21">
        <v>0.261</v>
      </c>
      <c r="M31" s="21">
        <v>0.224</v>
      </c>
      <c r="N31" s="21">
        <v>0.22</v>
      </c>
      <c r="O31" s="9">
        <v>600.0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2.75" customHeight="1">
      <c r="A32" s="23"/>
      <c r="B32" s="7" t="s">
        <v>33</v>
      </c>
      <c r="C32" s="19">
        <v>0.595</v>
      </c>
      <c r="D32" s="20">
        <v>0.316</v>
      </c>
      <c r="E32" s="20">
        <v>0.321</v>
      </c>
      <c r="F32" s="8">
        <v>0.168</v>
      </c>
      <c r="G32" s="8">
        <v>0.132</v>
      </c>
      <c r="H32" s="8">
        <v>0.141</v>
      </c>
      <c r="I32" s="21">
        <v>0.209</v>
      </c>
      <c r="J32" s="8">
        <v>0.181</v>
      </c>
      <c r="K32" s="8">
        <v>0.172</v>
      </c>
      <c r="L32" s="8">
        <v>0.153</v>
      </c>
      <c r="M32" s="8">
        <v>0.132</v>
      </c>
      <c r="N32" s="8">
        <v>0.143</v>
      </c>
      <c r="O32" s="9">
        <v>600.0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2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2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2.75" customHeight="1">
      <c r="A35" s="23"/>
      <c r="B35" s="23"/>
      <c r="C35" s="1">
        <f t="shared" ref="C35:N35" si="1">C26-$P$25</f>
        <v>1.275166667</v>
      </c>
      <c r="D35" s="1">
        <f t="shared" si="1"/>
        <v>1.309166667</v>
      </c>
      <c r="E35" s="1">
        <f t="shared" si="1"/>
        <v>1.328166667</v>
      </c>
      <c r="F35" s="1">
        <f t="shared" si="1"/>
        <v>1.334166667</v>
      </c>
      <c r="G35" s="1">
        <f t="shared" si="1"/>
        <v>1.317166667</v>
      </c>
      <c r="H35" s="1">
        <f t="shared" si="1"/>
        <v>1.329166667</v>
      </c>
      <c r="I35" s="1">
        <f t="shared" si="1"/>
        <v>1.379166667</v>
      </c>
      <c r="J35" s="1">
        <f t="shared" si="1"/>
        <v>1.366166667</v>
      </c>
      <c r="K35" s="1">
        <f t="shared" si="1"/>
        <v>1.353166667</v>
      </c>
      <c r="L35" s="1">
        <f t="shared" si="1"/>
        <v>1.339166667</v>
      </c>
      <c r="M35" s="1">
        <f t="shared" si="1"/>
        <v>1.334166667</v>
      </c>
      <c r="N35" s="1">
        <f t="shared" si="1"/>
        <v>1.313166667</v>
      </c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2.75" customHeight="1">
      <c r="A36" s="23"/>
      <c r="B36" s="23"/>
      <c r="C36" s="1">
        <f t="shared" ref="C36:N36" si="2">C27-$P$25</f>
        <v>1.255166667</v>
      </c>
      <c r="D36" s="1">
        <f t="shared" si="2"/>
        <v>1.291166667</v>
      </c>
      <c r="E36" s="1">
        <f t="shared" si="2"/>
        <v>1.289166667</v>
      </c>
      <c r="F36" s="1">
        <f t="shared" si="2"/>
        <v>1.307166667</v>
      </c>
      <c r="G36" s="1">
        <f t="shared" si="2"/>
        <v>1.300166667</v>
      </c>
      <c r="H36" s="1">
        <f t="shared" si="2"/>
        <v>1.296166667</v>
      </c>
      <c r="I36" s="1">
        <f t="shared" si="2"/>
        <v>1.352166667</v>
      </c>
      <c r="J36" s="1">
        <f t="shared" si="2"/>
        <v>1.350166667</v>
      </c>
      <c r="K36" s="1">
        <f t="shared" si="2"/>
        <v>1.318166667</v>
      </c>
      <c r="L36" s="1">
        <f t="shared" si="2"/>
        <v>1.285166667</v>
      </c>
      <c r="M36" s="1">
        <f t="shared" si="2"/>
        <v>1.297166667</v>
      </c>
      <c r="N36" s="1">
        <f t="shared" si="2"/>
        <v>1.289166667</v>
      </c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2.75" customHeight="1">
      <c r="A37" s="23"/>
      <c r="B37" s="23"/>
      <c r="C37" s="1">
        <f t="shared" ref="C37:N37" si="3">C28-$P$25</f>
        <v>1.261166667</v>
      </c>
      <c r="D37" s="1">
        <f t="shared" si="3"/>
        <v>1.303166667</v>
      </c>
      <c r="E37" s="1">
        <f t="shared" si="3"/>
        <v>1.284166667</v>
      </c>
      <c r="F37" s="1">
        <f t="shared" si="3"/>
        <v>1.274166667</v>
      </c>
      <c r="G37" s="1">
        <f t="shared" si="3"/>
        <v>1.324166667</v>
      </c>
      <c r="H37" s="1">
        <f t="shared" si="3"/>
        <v>1.318166667</v>
      </c>
      <c r="I37" s="1">
        <f t="shared" si="3"/>
        <v>1.382166667</v>
      </c>
      <c r="J37" s="1">
        <f t="shared" si="3"/>
        <v>1.344166667</v>
      </c>
      <c r="K37" s="1">
        <f t="shared" si="3"/>
        <v>1.338166667</v>
      </c>
      <c r="L37" s="1">
        <f t="shared" si="3"/>
        <v>1.326166667</v>
      </c>
      <c r="M37" s="1">
        <f t="shared" si="3"/>
        <v>1.274166667</v>
      </c>
      <c r="N37" s="1">
        <f t="shared" si="3"/>
        <v>1.265166667</v>
      </c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2.75" customHeight="1">
      <c r="A38" s="23"/>
      <c r="B38" s="23"/>
      <c r="C38" s="1">
        <f t="shared" ref="C38:N38" si="4">C29-$P$25</f>
        <v>1.267166667</v>
      </c>
      <c r="D38" s="1">
        <f t="shared" si="4"/>
        <v>1.309166667</v>
      </c>
      <c r="E38" s="1">
        <f t="shared" si="4"/>
        <v>1.322166667</v>
      </c>
      <c r="F38" s="1">
        <f t="shared" si="4"/>
        <v>1.144166667</v>
      </c>
      <c r="G38" s="1">
        <f t="shared" si="4"/>
        <v>0.7211666667</v>
      </c>
      <c r="H38" s="1">
        <f t="shared" si="4"/>
        <v>0.6711666667</v>
      </c>
      <c r="I38" s="1">
        <f t="shared" si="4"/>
        <v>0.9801666667</v>
      </c>
      <c r="J38" s="1">
        <f t="shared" si="4"/>
        <v>0.5241666667</v>
      </c>
      <c r="K38" s="1">
        <f t="shared" si="4"/>
        <v>0.5661666667</v>
      </c>
      <c r="L38" s="1">
        <f t="shared" si="4"/>
        <v>0.9271666667</v>
      </c>
      <c r="M38" s="1">
        <f t="shared" si="4"/>
        <v>0.4161666667</v>
      </c>
      <c r="N38" s="1">
        <f t="shared" si="4"/>
        <v>0.4311666667</v>
      </c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2.75" customHeight="1">
      <c r="A39" s="23"/>
      <c r="B39" s="23"/>
      <c r="C39" s="1">
        <f t="shared" ref="C39:N39" si="5">C30-$P$25</f>
        <v>1.190166667</v>
      </c>
      <c r="D39" s="1">
        <f t="shared" si="5"/>
        <v>1.231166667</v>
      </c>
      <c r="E39" s="1">
        <f t="shared" si="5"/>
        <v>1.263166667</v>
      </c>
      <c r="F39" s="1">
        <f t="shared" si="5"/>
        <v>0.4421666667</v>
      </c>
      <c r="G39" s="1">
        <f t="shared" si="5"/>
        <v>0.2861666667</v>
      </c>
      <c r="H39" s="1">
        <f t="shared" si="5"/>
        <v>0.2901666667</v>
      </c>
      <c r="I39" s="1">
        <f t="shared" si="5"/>
        <v>0.3381666667</v>
      </c>
      <c r="J39" s="1">
        <f t="shared" si="5"/>
        <v>0.2351666667</v>
      </c>
      <c r="K39" s="1">
        <f t="shared" si="5"/>
        <v>0.2551666667</v>
      </c>
      <c r="L39" s="1">
        <f t="shared" si="5"/>
        <v>0.2811666667</v>
      </c>
      <c r="M39" s="1">
        <f t="shared" si="5"/>
        <v>0.1891666667</v>
      </c>
      <c r="N39" s="1">
        <f t="shared" si="5"/>
        <v>0.1781666667</v>
      </c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2.75" customHeight="1">
      <c r="A40" s="23"/>
      <c r="B40" s="23"/>
      <c r="C40" s="1">
        <f t="shared" ref="C40:N40" si="6">C31-$P$25</f>
        <v>1.101166667</v>
      </c>
      <c r="D40" s="1">
        <f t="shared" si="6"/>
        <v>0.9071666667</v>
      </c>
      <c r="E40" s="1">
        <f t="shared" si="6"/>
        <v>0.9181666667</v>
      </c>
      <c r="F40" s="1">
        <f t="shared" si="6"/>
        <v>0.1761666667</v>
      </c>
      <c r="G40" s="1">
        <f t="shared" si="6"/>
        <v>0.1181666667</v>
      </c>
      <c r="H40" s="1">
        <f t="shared" si="6"/>
        <v>0.1191666667</v>
      </c>
      <c r="I40" s="1">
        <f t="shared" si="6"/>
        <v>0.1521666667</v>
      </c>
      <c r="J40" s="1">
        <f t="shared" si="6"/>
        <v>0.1191666667</v>
      </c>
      <c r="K40" s="1">
        <f t="shared" si="6"/>
        <v>0.1411666667</v>
      </c>
      <c r="L40" s="1">
        <f t="shared" si="6"/>
        <v>0.1351666667</v>
      </c>
      <c r="M40" s="1">
        <f t="shared" si="6"/>
        <v>0.09816666667</v>
      </c>
      <c r="N40" s="1">
        <f t="shared" si="6"/>
        <v>0.09416666667</v>
      </c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2.75" customHeight="1">
      <c r="A41" s="23"/>
      <c r="B41" s="23"/>
      <c r="C41" s="1">
        <f t="shared" ref="C41:N41" si="7">C32-$P$25</f>
        <v>0.4691666667</v>
      </c>
      <c r="D41" s="1">
        <f t="shared" si="7"/>
        <v>0.1901666667</v>
      </c>
      <c r="E41" s="1">
        <f t="shared" si="7"/>
        <v>0.1951666667</v>
      </c>
      <c r="F41" s="1">
        <f t="shared" si="7"/>
        <v>0.04216666667</v>
      </c>
      <c r="G41" s="1">
        <f t="shared" si="7"/>
        <v>0.006166666667</v>
      </c>
      <c r="H41" s="1">
        <f t="shared" si="7"/>
        <v>0.01516666667</v>
      </c>
      <c r="I41" s="1">
        <f t="shared" si="7"/>
        <v>0.08316666667</v>
      </c>
      <c r="J41" s="1">
        <f t="shared" si="7"/>
        <v>0.05516666667</v>
      </c>
      <c r="K41" s="1">
        <f t="shared" si="7"/>
        <v>0.04616666667</v>
      </c>
      <c r="L41" s="1">
        <f t="shared" si="7"/>
        <v>0.02716666667</v>
      </c>
      <c r="M41" s="1">
        <f t="shared" si="7"/>
        <v>0.006166666667</v>
      </c>
      <c r="N41" s="1">
        <f t="shared" si="7"/>
        <v>0.01716666667</v>
      </c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2.75" customHeight="1">
      <c r="A42" s="23"/>
      <c r="B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2.75" customHeight="1">
      <c r="A43" s="23"/>
      <c r="B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2.75" customHeight="1">
      <c r="A44" s="23"/>
      <c r="B44" s="23"/>
      <c r="C44" s="1">
        <f t="shared" ref="C44:C50" si="8">C35/$C$35</f>
        <v>1</v>
      </c>
      <c r="D44" s="1">
        <f t="shared" ref="D44:D50" si="9">D35/$D$35</f>
        <v>1</v>
      </c>
      <c r="E44" s="1">
        <f t="shared" ref="E44:E50" si="10">E35/$E$35</f>
        <v>1</v>
      </c>
      <c r="F44" s="1">
        <f t="shared" ref="F44:F50" si="11">F35/$F$35</f>
        <v>1</v>
      </c>
      <c r="G44" s="1">
        <f t="shared" ref="G44:G50" si="12">G35/$G$35</f>
        <v>1</v>
      </c>
      <c r="H44" s="1">
        <f t="shared" ref="H44:H50" si="13">H35/$H$35</f>
        <v>1</v>
      </c>
      <c r="I44" s="1">
        <f t="shared" ref="I44:I50" si="14">I35/$I$35</f>
        <v>1</v>
      </c>
      <c r="J44" s="1">
        <f t="shared" ref="J44:J50" si="15">J35/$J$35</f>
        <v>1</v>
      </c>
      <c r="K44" s="1">
        <f t="shared" ref="K44:K50" si="16">K35/$K$35</f>
        <v>1</v>
      </c>
      <c r="L44" s="1">
        <f t="shared" ref="L44:L50" si="17">L35/$L$35</f>
        <v>1</v>
      </c>
      <c r="M44" s="1">
        <f t="shared" ref="M44:M50" si="18">M35/$M$35</f>
        <v>1</v>
      </c>
      <c r="N44" s="1">
        <f t="shared" ref="N44:N50" si="19">N35/$N$35</f>
        <v>1</v>
      </c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2.75" customHeight="1">
      <c r="A45" s="23"/>
      <c r="B45" s="23"/>
      <c r="C45" s="1">
        <f t="shared" si="8"/>
        <v>0.9843157757</v>
      </c>
      <c r="D45" s="1">
        <f t="shared" si="9"/>
        <v>0.9862507957</v>
      </c>
      <c r="E45" s="1">
        <f t="shared" si="10"/>
        <v>0.9706362153</v>
      </c>
      <c r="F45" s="1">
        <f t="shared" si="11"/>
        <v>0.9797626483</v>
      </c>
      <c r="G45" s="1">
        <f t="shared" si="12"/>
        <v>0.9870935088</v>
      </c>
      <c r="H45" s="1">
        <f t="shared" si="13"/>
        <v>0.9751724138</v>
      </c>
      <c r="I45" s="1">
        <f t="shared" si="14"/>
        <v>0.9804229607</v>
      </c>
      <c r="J45" s="1">
        <f t="shared" si="15"/>
        <v>0.9882883982</v>
      </c>
      <c r="K45" s="1">
        <f t="shared" si="16"/>
        <v>0.9741347457</v>
      </c>
      <c r="L45" s="1">
        <f t="shared" si="17"/>
        <v>0.9596764157</v>
      </c>
      <c r="M45" s="1">
        <f t="shared" si="18"/>
        <v>0.9722673329</v>
      </c>
      <c r="N45" s="1">
        <f t="shared" si="19"/>
        <v>0.981723569</v>
      </c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2.75" customHeight="1">
      <c r="A46" s="23"/>
      <c r="B46" s="23"/>
      <c r="C46" s="1">
        <f t="shared" si="8"/>
        <v>0.989021043</v>
      </c>
      <c r="D46" s="1">
        <f t="shared" si="9"/>
        <v>0.9954169319</v>
      </c>
      <c r="E46" s="1">
        <f t="shared" si="10"/>
        <v>0.9668716276</v>
      </c>
      <c r="F46" s="1">
        <f t="shared" si="11"/>
        <v>0.9550281074</v>
      </c>
      <c r="G46" s="1">
        <f t="shared" si="12"/>
        <v>1.005314438</v>
      </c>
      <c r="H46" s="1">
        <f t="shared" si="13"/>
        <v>0.9917241379</v>
      </c>
      <c r="I46" s="1">
        <f t="shared" si="14"/>
        <v>1.002175227</v>
      </c>
      <c r="J46" s="1">
        <f t="shared" si="15"/>
        <v>0.9838965475</v>
      </c>
      <c r="K46" s="1">
        <f t="shared" si="16"/>
        <v>0.988914891</v>
      </c>
      <c r="L46" s="1">
        <f t="shared" si="17"/>
        <v>0.9902924704</v>
      </c>
      <c r="M46" s="1">
        <f t="shared" si="18"/>
        <v>0.9550281074</v>
      </c>
      <c r="N46" s="1">
        <f t="shared" si="19"/>
        <v>0.963447138</v>
      </c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2.75" customHeight="1">
      <c r="A47" s="23"/>
      <c r="B47" s="23"/>
      <c r="C47" s="1">
        <f t="shared" si="8"/>
        <v>0.9937263103</v>
      </c>
      <c r="D47" s="1">
        <f t="shared" si="9"/>
        <v>1</v>
      </c>
      <c r="E47" s="1">
        <f t="shared" si="10"/>
        <v>0.9954824947</v>
      </c>
      <c r="F47" s="1">
        <f t="shared" si="11"/>
        <v>0.8575890069</v>
      </c>
      <c r="G47" s="1">
        <f t="shared" si="12"/>
        <v>0.5475136024</v>
      </c>
      <c r="H47" s="1">
        <f t="shared" si="13"/>
        <v>0.5049529781</v>
      </c>
      <c r="I47" s="1">
        <f t="shared" si="14"/>
        <v>0.710694864</v>
      </c>
      <c r="J47" s="1">
        <f t="shared" si="15"/>
        <v>0.383676955</v>
      </c>
      <c r="K47" s="1">
        <f t="shared" si="16"/>
        <v>0.4184012809</v>
      </c>
      <c r="L47" s="1">
        <f t="shared" si="17"/>
        <v>0.6923459863</v>
      </c>
      <c r="M47" s="1">
        <f t="shared" si="18"/>
        <v>0.3119300437</v>
      </c>
      <c r="N47" s="1">
        <f t="shared" si="19"/>
        <v>0.32834116</v>
      </c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2.75" customHeight="1">
      <c r="A48" s="23"/>
      <c r="B48" s="23"/>
      <c r="C48" s="1">
        <f t="shared" si="8"/>
        <v>0.9333420468</v>
      </c>
      <c r="D48" s="1">
        <f t="shared" si="9"/>
        <v>0.9404201146</v>
      </c>
      <c r="E48" s="1">
        <f t="shared" si="10"/>
        <v>0.9510603589</v>
      </c>
      <c r="F48" s="1">
        <f t="shared" si="11"/>
        <v>0.3314178638</v>
      </c>
      <c r="G48" s="1">
        <f t="shared" si="12"/>
        <v>0.2172592686</v>
      </c>
      <c r="H48" s="1">
        <f t="shared" si="13"/>
        <v>0.21830721</v>
      </c>
      <c r="I48" s="1">
        <f t="shared" si="14"/>
        <v>0.2451963746</v>
      </c>
      <c r="J48" s="1">
        <f t="shared" si="15"/>
        <v>0.1721361474</v>
      </c>
      <c r="K48" s="1">
        <f t="shared" si="16"/>
        <v>0.1885700209</v>
      </c>
      <c r="L48" s="1">
        <f t="shared" si="17"/>
        <v>0.2099564406</v>
      </c>
      <c r="M48" s="1">
        <f t="shared" si="18"/>
        <v>0.1417863835</v>
      </c>
      <c r="N48" s="1">
        <f t="shared" si="19"/>
        <v>0.1356771164</v>
      </c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2.75" customHeight="1">
      <c r="A49" s="23"/>
      <c r="B49" s="23"/>
      <c r="C49" s="1">
        <f t="shared" si="8"/>
        <v>0.8635472487</v>
      </c>
      <c r="D49" s="1">
        <f t="shared" si="9"/>
        <v>0.6929344367</v>
      </c>
      <c r="E49" s="1">
        <f t="shared" si="10"/>
        <v>0.6913038022</v>
      </c>
      <c r="F49" s="1">
        <f t="shared" si="11"/>
        <v>0.1320424735</v>
      </c>
      <c r="G49" s="1">
        <f t="shared" si="12"/>
        <v>0.0897127673</v>
      </c>
      <c r="H49" s="1">
        <f t="shared" si="13"/>
        <v>0.08965517241</v>
      </c>
      <c r="I49" s="1">
        <f t="shared" si="14"/>
        <v>0.1103323263</v>
      </c>
      <c r="J49" s="1">
        <f t="shared" si="15"/>
        <v>0.08722703428</v>
      </c>
      <c r="K49" s="1">
        <f t="shared" si="16"/>
        <v>0.1043231925</v>
      </c>
      <c r="L49" s="1">
        <f t="shared" si="17"/>
        <v>0.1009334163</v>
      </c>
      <c r="M49" s="1">
        <f t="shared" si="18"/>
        <v>0.07357901312</v>
      </c>
      <c r="N49" s="1">
        <f t="shared" si="19"/>
        <v>0.07170960782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2.75" customHeight="1">
      <c r="A50" s="23"/>
      <c r="B50" s="23"/>
      <c r="C50" s="1">
        <f t="shared" si="8"/>
        <v>0.3679257613</v>
      </c>
      <c r="D50" s="1">
        <f t="shared" si="9"/>
        <v>0.1452577976</v>
      </c>
      <c r="E50" s="1">
        <f t="shared" si="10"/>
        <v>0.1469444096</v>
      </c>
      <c r="F50" s="1">
        <f t="shared" si="11"/>
        <v>0.03160524672</v>
      </c>
      <c r="G50" s="1">
        <f t="shared" si="12"/>
        <v>0.004681766418</v>
      </c>
      <c r="H50" s="1">
        <f t="shared" si="13"/>
        <v>0.01141065831</v>
      </c>
      <c r="I50" s="1">
        <f t="shared" si="14"/>
        <v>0.0603021148</v>
      </c>
      <c r="J50" s="1">
        <f t="shared" si="15"/>
        <v>0.04038062706</v>
      </c>
      <c r="K50" s="1">
        <f t="shared" si="16"/>
        <v>0.03411750216</v>
      </c>
      <c r="L50" s="1">
        <f t="shared" si="17"/>
        <v>0.02028624767</v>
      </c>
      <c r="M50" s="1">
        <f t="shared" si="18"/>
        <v>0.004622111181</v>
      </c>
      <c r="N50" s="1">
        <f t="shared" si="19"/>
        <v>0.01307272497</v>
      </c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2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2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2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2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2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2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2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2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2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2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2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2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2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2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2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2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2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2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2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2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2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2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2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2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2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2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2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2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2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2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2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2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2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2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2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2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2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2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2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2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2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2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2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2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2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2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2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2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2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2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2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2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2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2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2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2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2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2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2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2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2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2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2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2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2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2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2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2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2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2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2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2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2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2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2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2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2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2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2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2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2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2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2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2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2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2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2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2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2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2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2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2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2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2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2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2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2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2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2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2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2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2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2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2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2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2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2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2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2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2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2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2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2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2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2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2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2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2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2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2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2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2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2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2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2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2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2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2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2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2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2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2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2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2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2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2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2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2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2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2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2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2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2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2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2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2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2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2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2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2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2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2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2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2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2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2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2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2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2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2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2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2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2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2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2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2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2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2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2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2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2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2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2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2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2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2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2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2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2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2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2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2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2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2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2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2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2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2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2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2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2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2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2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2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2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2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2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2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2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2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2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2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2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2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2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2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2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2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2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2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2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2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2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2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2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2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2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2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2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2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2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2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2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2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2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2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2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2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2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2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2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2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2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2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2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2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2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2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2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2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2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2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2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2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2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2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2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2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2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2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2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2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2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2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2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2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2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2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2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2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2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2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2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2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2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2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2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2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2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2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2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2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2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2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2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2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2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2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2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2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2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2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2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2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2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2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2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2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2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2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2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2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2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2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2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2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2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2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2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2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2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2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2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2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2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2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2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2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2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2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2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2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2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2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2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2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2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2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2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2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2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2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2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2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2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2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2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2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2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2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2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2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2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2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2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2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2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2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2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2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2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2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2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2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2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2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2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2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2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2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2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2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2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2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2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2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2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2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2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2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2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2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2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2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2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2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2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2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2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2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2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2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2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2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2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2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2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2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2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2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2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2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2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2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2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2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2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2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2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2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2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2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2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2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2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2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2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2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2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2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2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2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2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2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2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2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2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2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2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2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2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2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2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2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2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2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2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2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2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2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2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2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2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2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2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2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2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2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2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2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2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2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2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2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2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2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2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2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2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2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2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2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2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2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2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2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2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2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2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2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2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2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2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2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2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2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2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2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2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2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2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2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2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2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2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2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2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2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2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2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2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2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2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2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2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2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2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2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2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2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2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2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2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2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2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2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2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2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2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2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2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2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2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2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2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2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2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2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2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2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2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2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2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2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2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2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2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2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2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2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2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2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2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2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2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2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2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2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2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2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2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2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2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2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2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2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2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2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2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2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2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2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2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2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2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2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2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2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2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2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2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2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2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2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2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2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2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2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2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2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2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2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2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2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2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2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2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2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2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2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2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2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2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2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2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2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2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2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2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2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2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2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2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2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2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2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2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2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2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2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2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2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2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2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2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2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2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2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2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2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2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2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2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2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2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2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2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2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2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2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2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2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2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2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2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2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2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2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2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2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2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2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2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2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2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2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2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2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2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2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2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2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2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2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2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2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2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2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2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2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2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2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2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2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2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2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2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2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2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2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2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2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2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2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2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2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2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2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2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2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2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2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2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2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2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2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2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2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2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2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2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2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2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2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2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2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2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2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2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2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2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2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2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2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2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2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2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2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2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2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2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2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2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2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2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2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2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2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2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2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2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2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2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2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2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2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2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2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2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2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2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2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2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2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2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2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2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2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2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2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2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2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2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2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2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2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2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2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2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2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2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2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2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2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2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2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2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2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2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2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2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2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2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2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2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2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2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2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2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2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2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2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2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2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2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2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2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2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2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2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2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2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2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2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2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2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2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2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2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2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2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2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2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2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2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2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2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2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2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2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2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2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2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2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2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2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2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2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2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2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2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2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2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2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2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2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2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2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2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2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2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2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2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2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2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2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2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2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2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2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2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2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2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2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2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2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2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2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2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2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2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2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2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2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2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2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2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2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2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2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2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2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2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2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2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2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2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2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2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2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2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2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2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2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2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2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2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2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2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2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2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2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2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2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2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2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2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2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2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2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2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2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2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2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2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2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2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2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2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2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2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2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2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2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2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2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2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2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2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2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2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2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2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2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2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2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2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2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2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2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2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2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2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2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2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2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2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2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2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2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2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2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2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2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2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2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2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2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2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2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2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2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2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2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2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2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2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2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2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2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2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2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2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2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2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2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2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2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2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2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2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2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2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2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2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2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2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2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2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2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2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2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2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2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2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2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2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2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2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2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2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2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2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2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2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63"/>
    <col customWidth="1" min="3" max="26" width="9.13"/>
  </cols>
  <sheetData>
    <row r="1" ht="12.75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2.75" customHeight="1">
      <c r="A2" s="23" t="s">
        <v>0</v>
      </c>
      <c r="B2" s="23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2.7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2.75" customHeight="1">
      <c r="A4" s="23" t="s">
        <v>2</v>
      </c>
      <c r="B4" s="23" t="s">
        <v>3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2.75" customHeight="1">
      <c r="A5" s="23" t="s">
        <v>4</v>
      </c>
      <c r="B5" s="23" t="s">
        <v>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2.75" customHeight="1">
      <c r="A6" s="23" t="s">
        <v>6</v>
      </c>
      <c r="B6" s="23" t="s">
        <v>47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2.75" customHeight="1">
      <c r="A7" s="23" t="s">
        <v>8</v>
      </c>
      <c r="B7" s="2">
        <v>46106.0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2.75" customHeight="1">
      <c r="A8" s="23" t="s">
        <v>9</v>
      </c>
      <c r="B8" s="3">
        <v>0.6330208333333334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2.75" customHeight="1">
      <c r="A9" s="23" t="s">
        <v>10</v>
      </c>
      <c r="B9" s="23" t="s">
        <v>11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2.75" customHeight="1">
      <c r="A10" s="23" t="s">
        <v>12</v>
      </c>
      <c r="B10" s="23">
        <v>2.5030902E7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2.75" customHeight="1">
      <c r="A11" s="23" t="s">
        <v>13</v>
      </c>
      <c r="B11" s="23" t="s">
        <v>14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2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2.75" customHeight="1">
      <c r="A13" s="4" t="s">
        <v>15</v>
      </c>
      <c r="B13" s="5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2.75" customHeight="1">
      <c r="A14" s="23" t="s">
        <v>16</v>
      </c>
      <c r="B14" s="23" t="s">
        <v>17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2.75" customHeight="1">
      <c r="A15" s="23" t="s">
        <v>18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2.75" customHeight="1">
      <c r="A16" s="23" t="s">
        <v>19</v>
      </c>
      <c r="B16" s="23" t="s">
        <v>20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2.75" customHeight="1">
      <c r="A17" s="23"/>
      <c r="B17" s="23" t="s">
        <v>21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2.75" customHeight="1">
      <c r="A18" s="23"/>
      <c r="B18" s="23" t="s">
        <v>22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2.75" customHeight="1">
      <c r="A19" s="23"/>
      <c r="B19" s="23" t="s">
        <v>23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2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2.75" customHeight="1">
      <c r="A21" s="4" t="s">
        <v>24</v>
      </c>
      <c r="B21" s="5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2.75" customHeight="1">
      <c r="A22" s="23" t="s">
        <v>25</v>
      </c>
      <c r="B22" s="23">
        <v>26.2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2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2.75" customHeight="1">
      <c r="A24" s="23"/>
      <c r="B24" s="6"/>
      <c r="C24" s="7">
        <v>1.0</v>
      </c>
      <c r="D24" s="7">
        <v>2.0</v>
      </c>
      <c r="E24" s="7">
        <v>3.0</v>
      </c>
      <c r="F24" s="7">
        <v>4.0</v>
      </c>
      <c r="G24" s="7">
        <v>5.0</v>
      </c>
      <c r="H24" s="7">
        <v>6.0</v>
      </c>
      <c r="I24" s="7">
        <v>7.0</v>
      </c>
      <c r="J24" s="7">
        <v>8.0</v>
      </c>
      <c r="K24" s="7">
        <v>9.0</v>
      </c>
      <c r="L24" s="7">
        <v>10.0</v>
      </c>
      <c r="M24" s="7">
        <v>11.0</v>
      </c>
      <c r="N24" s="7">
        <v>12.0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2.75" customHeight="1">
      <c r="A25" s="23"/>
      <c r="B25" s="7" t="s">
        <v>26</v>
      </c>
      <c r="C25" s="8">
        <v>0.099</v>
      </c>
      <c r="D25" s="8">
        <v>0.102</v>
      </c>
      <c r="E25" s="8">
        <v>0.111</v>
      </c>
      <c r="F25" s="8">
        <v>0.103</v>
      </c>
      <c r="G25" s="8">
        <v>0.106</v>
      </c>
      <c r="H25" s="8">
        <v>0.105</v>
      </c>
      <c r="I25" s="8">
        <v>0.106</v>
      </c>
      <c r="J25" s="8">
        <v>0.109</v>
      </c>
      <c r="K25" s="8">
        <v>0.102</v>
      </c>
      <c r="L25" s="8">
        <v>0.101</v>
      </c>
      <c r="M25" s="8">
        <v>0.099</v>
      </c>
      <c r="N25" s="8">
        <v>0.098</v>
      </c>
      <c r="O25" s="9">
        <v>600.0</v>
      </c>
      <c r="P25" s="23">
        <f>AVERAGE(C25:N25)</f>
        <v>0.1034166667</v>
      </c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2.75" customHeight="1">
      <c r="A26" s="23"/>
      <c r="B26" s="7" t="s">
        <v>27</v>
      </c>
      <c r="C26" s="10">
        <v>1.363</v>
      </c>
      <c r="D26" s="10">
        <v>1.356</v>
      </c>
      <c r="E26" s="10">
        <v>1.375</v>
      </c>
      <c r="F26" s="10">
        <v>1.376</v>
      </c>
      <c r="G26" s="10">
        <v>1.353</v>
      </c>
      <c r="H26" s="10">
        <v>1.397</v>
      </c>
      <c r="I26" s="10">
        <v>1.412</v>
      </c>
      <c r="J26" s="10">
        <v>1.4</v>
      </c>
      <c r="K26" s="11">
        <v>1.438</v>
      </c>
      <c r="L26" s="10">
        <v>1.408</v>
      </c>
      <c r="M26" s="10">
        <v>1.377</v>
      </c>
      <c r="N26" s="10">
        <v>1.352</v>
      </c>
      <c r="O26" s="9">
        <v>600.0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2.75" customHeight="1">
      <c r="A27" s="23"/>
      <c r="B27" s="7" t="s">
        <v>28</v>
      </c>
      <c r="C27" s="12">
        <v>1.282</v>
      </c>
      <c r="D27" s="12">
        <v>1.308</v>
      </c>
      <c r="E27" s="12">
        <v>1.319</v>
      </c>
      <c r="F27" s="10">
        <v>1.357</v>
      </c>
      <c r="G27" s="12">
        <v>1.324</v>
      </c>
      <c r="H27" s="12">
        <v>1.325</v>
      </c>
      <c r="I27" s="10">
        <v>1.414</v>
      </c>
      <c r="J27" s="10">
        <v>1.373</v>
      </c>
      <c r="K27" s="10">
        <v>1.375</v>
      </c>
      <c r="L27" s="10">
        <v>1.335</v>
      </c>
      <c r="M27" s="10">
        <v>1.336</v>
      </c>
      <c r="N27" s="12">
        <v>1.302</v>
      </c>
      <c r="O27" s="9">
        <v>600.0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2.75" customHeight="1">
      <c r="A28" s="23"/>
      <c r="B28" s="7" t="s">
        <v>29</v>
      </c>
      <c r="C28" s="12">
        <v>1.325</v>
      </c>
      <c r="D28" s="11">
        <v>1.539</v>
      </c>
      <c r="E28" s="10">
        <v>1.433</v>
      </c>
      <c r="F28" s="10">
        <v>1.348</v>
      </c>
      <c r="G28" s="10">
        <v>1.393</v>
      </c>
      <c r="H28" s="11">
        <v>1.447</v>
      </c>
      <c r="I28" s="10">
        <v>1.409</v>
      </c>
      <c r="J28" s="10">
        <v>1.369</v>
      </c>
      <c r="K28" s="10">
        <v>1.374</v>
      </c>
      <c r="L28" s="10">
        <v>1.381</v>
      </c>
      <c r="M28" s="10">
        <v>1.355</v>
      </c>
      <c r="N28" s="12">
        <v>1.33</v>
      </c>
      <c r="O28" s="9">
        <v>600.0</v>
      </c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2.75" customHeight="1">
      <c r="A29" s="23"/>
      <c r="B29" s="7" t="s">
        <v>30</v>
      </c>
      <c r="C29" s="10">
        <v>1.346</v>
      </c>
      <c r="D29" s="10">
        <v>1.368</v>
      </c>
      <c r="E29" s="10">
        <v>1.351</v>
      </c>
      <c r="F29" s="24">
        <v>1.197</v>
      </c>
      <c r="G29" s="14">
        <v>0.765</v>
      </c>
      <c r="H29" s="14">
        <v>0.784</v>
      </c>
      <c r="I29" s="17">
        <v>0.994</v>
      </c>
      <c r="J29" s="19">
        <v>0.598</v>
      </c>
      <c r="K29" s="16">
        <v>0.616</v>
      </c>
      <c r="L29" s="17">
        <v>0.936</v>
      </c>
      <c r="M29" s="18">
        <v>0.489</v>
      </c>
      <c r="N29" s="18">
        <v>0.505</v>
      </c>
      <c r="O29" s="9">
        <v>600.0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2.75" customHeight="1">
      <c r="A30" s="23"/>
      <c r="B30" s="7" t="s">
        <v>31</v>
      </c>
      <c r="C30" s="10">
        <v>1.387</v>
      </c>
      <c r="D30" s="10">
        <v>1.383</v>
      </c>
      <c r="E30" s="10">
        <v>1.349</v>
      </c>
      <c r="F30" s="19">
        <v>0.529</v>
      </c>
      <c r="G30" s="20">
        <v>0.395</v>
      </c>
      <c r="H30" s="20">
        <v>0.403</v>
      </c>
      <c r="I30" s="18">
        <v>0.442</v>
      </c>
      <c r="J30" s="20">
        <v>0.342</v>
      </c>
      <c r="K30" s="20">
        <v>0.364</v>
      </c>
      <c r="L30" s="20">
        <v>0.399</v>
      </c>
      <c r="M30" s="20">
        <v>0.305</v>
      </c>
      <c r="N30" s="21">
        <v>0.293</v>
      </c>
      <c r="O30" s="9">
        <v>600.0</v>
      </c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2.75" customHeight="1">
      <c r="A31" s="23"/>
      <c r="B31" s="7" t="s">
        <v>32</v>
      </c>
      <c r="C31" s="11">
        <v>1.531</v>
      </c>
      <c r="D31" s="15">
        <v>1.065</v>
      </c>
      <c r="E31" s="17">
        <v>0.974</v>
      </c>
      <c r="F31" s="21">
        <v>0.281</v>
      </c>
      <c r="G31" s="21">
        <v>0.211</v>
      </c>
      <c r="H31" s="21">
        <v>0.222</v>
      </c>
      <c r="I31" s="21">
        <v>0.269</v>
      </c>
      <c r="J31" s="21">
        <v>0.241</v>
      </c>
      <c r="K31" s="21">
        <v>0.248</v>
      </c>
      <c r="L31" s="21">
        <v>0.249</v>
      </c>
      <c r="M31" s="21">
        <v>0.21</v>
      </c>
      <c r="N31" s="8">
        <v>0.191</v>
      </c>
      <c r="O31" s="9">
        <v>600.0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2.75" customHeight="1">
      <c r="A32" s="23"/>
      <c r="B32" s="7" t="s">
        <v>33</v>
      </c>
      <c r="C32" s="19">
        <v>0.596</v>
      </c>
      <c r="D32" s="20">
        <v>0.317</v>
      </c>
      <c r="E32" s="20">
        <v>0.319</v>
      </c>
      <c r="F32" s="8">
        <v>0.164</v>
      </c>
      <c r="G32" s="8">
        <v>0.129</v>
      </c>
      <c r="H32" s="8">
        <v>0.145</v>
      </c>
      <c r="I32" s="8">
        <v>0.19</v>
      </c>
      <c r="J32" s="8">
        <v>0.191</v>
      </c>
      <c r="K32" s="8">
        <v>0.189</v>
      </c>
      <c r="L32" s="8">
        <v>0.152</v>
      </c>
      <c r="M32" s="8">
        <v>0.133</v>
      </c>
      <c r="N32" s="8">
        <v>0.143</v>
      </c>
      <c r="O32" s="9">
        <v>600.0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2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2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2.75" customHeight="1">
      <c r="A35" s="23"/>
      <c r="B35" s="23"/>
      <c r="C35" s="1">
        <f t="shared" ref="C35:N35" si="1">C26-$P$25</f>
        <v>1.259583333</v>
      </c>
      <c r="D35" s="1">
        <f t="shared" si="1"/>
        <v>1.252583333</v>
      </c>
      <c r="E35" s="1">
        <f t="shared" si="1"/>
        <v>1.271583333</v>
      </c>
      <c r="F35" s="1">
        <f t="shared" si="1"/>
        <v>1.272583333</v>
      </c>
      <c r="G35" s="1">
        <f t="shared" si="1"/>
        <v>1.249583333</v>
      </c>
      <c r="H35" s="1">
        <f t="shared" si="1"/>
        <v>1.293583333</v>
      </c>
      <c r="I35" s="1">
        <f t="shared" si="1"/>
        <v>1.308583333</v>
      </c>
      <c r="J35" s="1">
        <f t="shared" si="1"/>
        <v>1.296583333</v>
      </c>
      <c r="K35" s="1">
        <f t="shared" si="1"/>
        <v>1.334583333</v>
      </c>
      <c r="L35" s="1">
        <f t="shared" si="1"/>
        <v>1.304583333</v>
      </c>
      <c r="M35" s="1">
        <f t="shared" si="1"/>
        <v>1.273583333</v>
      </c>
      <c r="N35" s="1">
        <f t="shared" si="1"/>
        <v>1.248583333</v>
      </c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2.75" customHeight="1">
      <c r="A36" s="23"/>
      <c r="B36" s="23"/>
      <c r="C36" s="1">
        <f t="shared" ref="C36:N36" si="2">C27-$P$25</f>
        <v>1.178583333</v>
      </c>
      <c r="D36" s="1">
        <f t="shared" si="2"/>
        <v>1.204583333</v>
      </c>
      <c r="E36" s="1">
        <f t="shared" si="2"/>
        <v>1.215583333</v>
      </c>
      <c r="F36" s="1">
        <f t="shared" si="2"/>
        <v>1.253583333</v>
      </c>
      <c r="G36" s="1">
        <f t="shared" si="2"/>
        <v>1.220583333</v>
      </c>
      <c r="H36" s="1">
        <f t="shared" si="2"/>
        <v>1.221583333</v>
      </c>
      <c r="I36" s="1">
        <f t="shared" si="2"/>
        <v>1.310583333</v>
      </c>
      <c r="J36" s="1">
        <f t="shared" si="2"/>
        <v>1.269583333</v>
      </c>
      <c r="K36" s="1">
        <f t="shared" si="2"/>
        <v>1.271583333</v>
      </c>
      <c r="L36" s="1">
        <f t="shared" si="2"/>
        <v>1.231583333</v>
      </c>
      <c r="M36" s="1">
        <f t="shared" si="2"/>
        <v>1.232583333</v>
      </c>
      <c r="N36" s="1">
        <f t="shared" si="2"/>
        <v>1.198583333</v>
      </c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2.75" customHeight="1">
      <c r="A37" s="23"/>
      <c r="B37" s="23"/>
      <c r="C37" s="1">
        <f t="shared" ref="C37:N37" si="3">C28-$P$25</f>
        <v>1.221583333</v>
      </c>
      <c r="D37" s="1">
        <f t="shared" si="3"/>
        <v>1.435583333</v>
      </c>
      <c r="E37" s="1">
        <f t="shared" si="3"/>
        <v>1.329583333</v>
      </c>
      <c r="F37" s="1">
        <f t="shared" si="3"/>
        <v>1.244583333</v>
      </c>
      <c r="G37" s="1">
        <f t="shared" si="3"/>
        <v>1.289583333</v>
      </c>
      <c r="H37" s="1">
        <f t="shared" si="3"/>
        <v>1.343583333</v>
      </c>
      <c r="I37" s="1">
        <f t="shared" si="3"/>
        <v>1.305583333</v>
      </c>
      <c r="J37" s="1">
        <f t="shared" si="3"/>
        <v>1.265583333</v>
      </c>
      <c r="K37" s="1">
        <f t="shared" si="3"/>
        <v>1.270583333</v>
      </c>
      <c r="L37" s="1">
        <f t="shared" si="3"/>
        <v>1.277583333</v>
      </c>
      <c r="M37" s="1">
        <f t="shared" si="3"/>
        <v>1.251583333</v>
      </c>
      <c r="N37" s="1">
        <f t="shared" si="3"/>
        <v>1.226583333</v>
      </c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2.75" customHeight="1">
      <c r="A38" s="23"/>
      <c r="B38" s="23"/>
      <c r="C38" s="1">
        <f t="shared" ref="C38:N38" si="4">C29-$P$25</f>
        <v>1.242583333</v>
      </c>
      <c r="D38" s="1">
        <f t="shared" si="4"/>
        <v>1.264583333</v>
      </c>
      <c r="E38" s="1">
        <f t="shared" si="4"/>
        <v>1.247583333</v>
      </c>
      <c r="F38" s="1">
        <f t="shared" si="4"/>
        <v>1.093583333</v>
      </c>
      <c r="G38" s="1">
        <f t="shared" si="4"/>
        <v>0.6615833333</v>
      </c>
      <c r="H38" s="1">
        <f t="shared" si="4"/>
        <v>0.6805833333</v>
      </c>
      <c r="I38" s="1">
        <f t="shared" si="4"/>
        <v>0.8905833333</v>
      </c>
      <c r="J38" s="1">
        <f t="shared" si="4"/>
        <v>0.4945833333</v>
      </c>
      <c r="K38" s="1">
        <f t="shared" si="4"/>
        <v>0.5125833333</v>
      </c>
      <c r="L38" s="1">
        <f t="shared" si="4"/>
        <v>0.8325833333</v>
      </c>
      <c r="M38" s="1">
        <f t="shared" si="4"/>
        <v>0.3855833333</v>
      </c>
      <c r="N38" s="1">
        <f t="shared" si="4"/>
        <v>0.4015833333</v>
      </c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2.75" customHeight="1">
      <c r="A39" s="23"/>
      <c r="B39" s="23"/>
      <c r="C39" s="1">
        <f t="shared" ref="C39:N39" si="5">C30-$P$25</f>
        <v>1.283583333</v>
      </c>
      <c r="D39" s="1">
        <f t="shared" si="5"/>
        <v>1.279583333</v>
      </c>
      <c r="E39" s="1">
        <f t="shared" si="5"/>
        <v>1.245583333</v>
      </c>
      <c r="F39" s="1">
        <f t="shared" si="5"/>
        <v>0.4255833333</v>
      </c>
      <c r="G39" s="1">
        <f t="shared" si="5"/>
        <v>0.2915833333</v>
      </c>
      <c r="H39" s="1">
        <f t="shared" si="5"/>
        <v>0.2995833333</v>
      </c>
      <c r="I39" s="1">
        <f t="shared" si="5"/>
        <v>0.3385833333</v>
      </c>
      <c r="J39" s="1">
        <f t="shared" si="5"/>
        <v>0.2385833333</v>
      </c>
      <c r="K39" s="1">
        <f t="shared" si="5"/>
        <v>0.2605833333</v>
      </c>
      <c r="L39" s="1">
        <f t="shared" si="5"/>
        <v>0.2955833333</v>
      </c>
      <c r="M39" s="1">
        <f t="shared" si="5"/>
        <v>0.2015833333</v>
      </c>
      <c r="N39" s="1">
        <f t="shared" si="5"/>
        <v>0.1895833333</v>
      </c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2.75" customHeight="1">
      <c r="A40" s="23"/>
      <c r="B40" s="23"/>
      <c r="C40" s="1">
        <f t="shared" ref="C40:N40" si="6">C31-$P$25</f>
        <v>1.427583333</v>
      </c>
      <c r="D40" s="1">
        <f t="shared" si="6"/>
        <v>0.9615833333</v>
      </c>
      <c r="E40" s="1">
        <f t="shared" si="6"/>
        <v>0.8705833333</v>
      </c>
      <c r="F40" s="1">
        <f t="shared" si="6"/>
        <v>0.1775833333</v>
      </c>
      <c r="G40" s="1">
        <f t="shared" si="6"/>
        <v>0.1075833333</v>
      </c>
      <c r="H40" s="1">
        <f t="shared" si="6"/>
        <v>0.1185833333</v>
      </c>
      <c r="I40" s="1">
        <f t="shared" si="6"/>
        <v>0.1655833333</v>
      </c>
      <c r="J40" s="1">
        <f t="shared" si="6"/>
        <v>0.1375833333</v>
      </c>
      <c r="K40" s="1">
        <f t="shared" si="6"/>
        <v>0.1445833333</v>
      </c>
      <c r="L40" s="1">
        <f t="shared" si="6"/>
        <v>0.1455833333</v>
      </c>
      <c r="M40" s="1">
        <f t="shared" si="6"/>
        <v>0.1065833333</v>
      </c>
      <c r="N40" s="1">
        <f t="shared" si="6"/>
        <v>0.08758333333</v>
      </c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2.75" customHeight="1">
      <c r="A41" s="23"/>
      <c r="B41" s="23"/>
      <c r="C41" s="1">
        <f t="shared" ref="C41:N41" si="7">C32-$P$25</f>
        <v>0.4925833333</v>
      </c>
      <c r="D41" s="1">
        <f t="shared" si="7"/>
        <v>0.2135833333</v>
      </c>
      <c r="E41" s="1">
        <f t="shared" si="7"/>
        <v>0.2155833333</v>
      </c>
      <c r="F41" s="1">
        <f t="shared" si="7"/>
        <v>0.06058333333</v>
      </c>
      <c r="G41" s="1">
        <f t="shared" si="7"/>
        <v>0.02558333333</v>
      </c>
      <c r="H41" s="1">
        <f t="shared" si="7"/>
        <v>0.04158333333</v>
      </c>
      <c r="I41" s="1">
        <f t="shared" si="7"/>
        <v>0.08658333333</v>
      </c>
      <c r="J41" s="1">
        <f t="shared" si="7"/>
        <v>0.08758333333</v>
      </c>
      <c r="K41" s="1">
        <f t="shared" si="7"/>
        <v>0.08558333333</v>
      </c>
      <c r="L41" s="1">
        <f t="shared" si="7"/>
        <v>0.04858333333</v>
      </c>
      <c r="M41" s="1">
        <f t="shared" si="7"/>
        <v>0.02958333333</v>
      </c>
      <c r="N41" s="1">
        <f t="shared" si="7"/>
        <v>0.03958333333</v>
      </c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2.75" customHeight="1">
      <c r="A42" s="23"/>
      <c r="B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2.75" customHeight="1">
      <c r="A43" s="23"/>
      <c r="B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2.75" customHeight="1">
      <c r="A44" s="23"/>
      <c r="B44" s="23"/>
      <c r="C44" s="1">
        <f t="shared" ref="C44:C50" si="8">C35/$C$35</f>
        <v>1</v>
      </c>
      <c r="D44" s="1">
        <f t="shared" ref="D44:D50" si="9">D35/$D$35</f>
        <v>1</v>
      </c>
      <c r="E44" s="1">
        <f t="shared" ref="E44:E50" si="10">E35/$E$35</f>
        <v>1</v>
      </c>
      <c r="F44" s="1">
        <f t="shared" ref="F44:F50" si="11">F35/$F$35</f>
        <v>1</v>
      </c>
      <c r="G44" s="1">
        <f t="shared" ref="G44:G50" si="12">G35/$G$35</f>
        <v>1</v>
      </c>
      <c r="H44" s="1">
        <f t="shared" ref="H44:H50" si="13">H35/$H$35</f>
        <v>1</v>
      </c>
      <c r="I44" s="1">
        <f t="shared" ref="I44:I50" si="14">I35/$I$35</f>
        <v>1</v>
      </c>
      <c r="J44" s="1">
        <f t="shared" ref="J44:J50" si="15">J35/$J$35</f>
        <v>1</v>
      </c>
      <c r="K44" s="1">
        <f t="shared" ref="K44:K50" si="16">K35/$K$35</f>
        <v>1</v>
      </c>
      <c r="L44" s="1">
        <f t="shared" ref="L44:L50" si="17">L35/$L$35</f>
        <v>1</v>
      </c>
      <c r="M44" s="1">
        <f t="shared" ref="M44:M50" si="18">M35/$M$35</f>
        <v>1</v>
      </c>
      <c r="N44" s="1">
        <f t="shared" ref="N44:N50" si="19">N35/$N$35</f>
        <v>1</v>
      </c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2.75" customHeight="1">
      <c r="A45" s="23"/>
      <c r="B45" s="23"/>
      <c r="C45" s="1">
        <f t="shared" si="8"/>
        <v>0.9356930202</v>
      </c>
      <c r="D45" s="1">
        <f t="shared" si="9"/>
        <v>0.9616791963</v>
      </c>
      <c r="E45" s="1">
        <f t="shared" si="10"/>
        <v>0.9559604168</v>
      </c>
      <c r="F45" s="1">
        <f t="shared" si="11"/>
        <v>0.98506974</v>
      </c>
      <c r="G45" s="1">
        <f t="shared" si="12"/>
        <v>0.9767922641</v>
      </c>
      <c r="H45" s="1">
        <f t="shared" si="13"/>
        <v>0.9443406558</v>
      </c>
      <c r="I45" s="1">
        <f t="shared" si="14"/>
        <v>1.00152837</v>
      </c>
      <c r="J45" s="1">
        <f t="shared" si="15"/>
        <v>0.9791760396</v>
      </c>
      <c r="K45" s="1">
        <f t="shared" si="16"/>
        <v>0.9527942554</v>
      </c>
      <c r="L45" s="1">
        <f t="shared" si="17"/>
        <v>0.9440434366</v>
      </c>
      <c r="M45" s="1">
        <f t="shared" si="18"/>
        <v>0.9678073677</v>
      </c>
      <c r="N45" s="1">
        <f t="shared" si="19"/>
        <v>0.9599546152</v>
      </c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2.75" customHeight="1">
      <c r="A46" s="23"/>
      <c r="B46" s="23"/>
      <c r="C46" s="1">
        <f t="shared" si="8"/>
        <v>0.9698312934</v>
      </c>
      <c r="D46" s="1">
        <f t="shared" si="9"/>
        <v>1.146098064</v>
      </c>
      <c r="E46" s="1">
        <f t="shared" si="10"/>
        <v>1.045612425</v>
      </c>
      <c r="F46" s="1">
        <f t="shared" si="11"/>
        <v>0.9779975116</v>
      </c>
      <c r="G46" s="1">
        <f t="shared" si="12"/>
        <v>1.03201067</v>
      </c>
      <c r="H46" s="1">
        <f t="shared" si="13"/>
        <v>1.038652322</v>
      </c>
      <c r="I46" s="1">
        <f t="shared" si="14"/>
        <v>0.9977074444</v>
      </c>
      <c r="J46" s="1">
        <f t="shared" si="15"/>
        <v>0.9760910084</v>
      </c>
      <c r="K46" s="1">
        <f t="shared" si="16"/>
        <v>0.9520449579</v>
      </c>
      <c r="L46" s="1">
        <f t="shared" si="17"/>
        <v>0.9793037368</v>
      </c>
      <c r="M46" s="1">
        <f t="shared" si="18"/>
        <v>0.9827259046</v>
      </c>
      <c r="N46" s="1">
        <f t="shared" si="19"/>
        <v>0.9823800307</v>
      </c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2.75" customHeight="1">
      <c r="A47" s="23"/>
      <c r="B47" s="23"/>
      <c r="C47" s="1">
        <f t="shared" si="8"/>
        <v>0.9865034734</v>
      </c>
      <c r="D47" s="1">
        <f t="shared" si="9"/>
        <v>1.009580201</v>
      </c>
      <c r="E47" s="1">
        <f t="shared" si="10"/>
        <v>0.9811258929</v>
      </c>
      <c r="F47" s="1">
        <f t="shared" si="11"/>
        <v>0.859341235</v>
      </c>
      <c r="G47" s="1">
        <f t="shared" si="12"/>
        <v>0.5294431477</v>
      </c>
      <c r="H47" s="1">
        <f t="shared" si="13"/>
        <v>0.5261225279</v>
      </c>
      <c r="I47" s="1">
        <f t="shared" si="14"/>
        <v>0.6805705916</v>
      </c>
      <c r="J47" s="1">
        <f t="shared" si="15"/>
        <v>0.3814512501</v>
      </c>
      <c r="K47" s="1">
        <f t="shared" si="16"/>
        <v>0.3840774274</v>
      </c>
      <c r="L47" s="1">
        <f t="shared" si="17"/>
        <v>0.6381986586</v>
      </c>
      <c r="M47" s="1">
        <f t="shared" si="18"/>
        <v>0.3027546948</v>
      </c>
      <c r="N47" s="1">
        <f t="shared" si="19"/>
        <v>0.321631182</v>
      </c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2.75" customHeight="1">
      <c r="A48" s="23"/>
      <c r="B48" s="23"/>
      <c r="C48" s="1">
        <f t="shared" si="8"/>
        <v>1.01905392</v>
      </c>
      <c r="D48" s="1">
        <f t="shared" si="9"/>
        <v>1.021555452</v>
      </c>
      <c r="E48" s="1">
        <f t="shared" si="10"/>
        <v>0.9795530507</v>
      </c>
      <c r="F48" s="1">
        <f t="shared" si="11"/>
        <v>0.3344247266</v>
      </c>
      <c r="G48" s="1">
        <f t="shared" si="12"/>
        <v>0.2333444481</v>
      </c>
      <c r="H48" s="1">
        <f t="shared" si="13"/>
        <v>0.2315918315</v>
      </c>
      <c r="I48" s="1">
        <f t="shared" si="14"/>
        <v>0.2587403681</v>
      </c>
      <c r="J48" s="1">
        <f t="shared" si="15"/>
        <v>0.1840092551</v>
      </c>
      <c r="K48" s="1">
        <f t="shared" si="16"/>
        <v>0.195254449</v>
      </c>
      <c r="L48" s="1">
        <f t="shared" si="17"/>
        <v>0.2265729799</v>
      </c>
      <c r="M48" s="1">
        <f t="shared" si="18"/>
        <v>0.1582804423</v>
      </c>
      <c r="N48" s="1">
        <f t="shared" si="19"/>
        <v>0.1518387506</v>
      </c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2.75" customHeight="1">
      <c r="A49" s="23"/>
      <c r="B49" s="23"/>
      <c r="C49" s="1">
        <f t="shared" si="8"/>
        <v>1.13337744</v>
      </c>
      <c r="D49" s="1">
        <f t="shared" si="9"/>
        <v>0.7676801277</v>
      </c>
      <c r="E49" s="1">
        <f t="shared" si="10"/>
        <v>0.6846451275</v>
      </c>
      <c r="F49" s="1">
        <f t="shared" si="11"/>
        <v>0.1395455438</v>
      </c>
      <c r="G49" s="1">
        <f t="shared" si="12"/>
        <v>0.08609536512</v>
      </c>
      <c r="H49" s="1">
        <f t="shared" si="13"/>
        <v>0.09167042453</v>
      </c>
      <c r="I49" s="1">
        <f t="shared" si="14"/>
        <v>0.1265363306</v>
      </c>
      <c r="J49" s="1">
        <f t="shared" si="15"/>
        <v>0.106112218</v>
      </c>
      <c r="K49" s="1">
        <f t="shared" si="16"/>
        <v>0.1083359351</v>
      </c>
      <c r="L49" s="1">
        <f t="shared" si="17"/>
        <v>0.11159374</v>
      </c>
      <c r="M49" s="1">
        <f t="shared" si="18"/>
        <v>0.08368775764</v>
      </c>
      <c r="N49" s="1">
        <f t="shared" si="19"/>
        <v>0.07014616565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2.75" customHeight="1">
      <c r="A50" s="23"/>
      <c r="B50" s="23"/>
      <c r="C50" s="1">
        <f t="shared" si="8"/>
        <v>0.391068475</v>
      </c>
      <c r="D50" s="1">
        <f t="shared" si="9"/>
        <v>0.1705142705</v>
      </c>
      <c r="E50" s="1">
        <f t="shared" si="10"/>
        <v>0.1695392883</v>
      </c>
      <c r="F50" s="1">
        <f t="shared" si="11"/>
        <v>0.04760657455</v>
      </c>
      <c r="G50" s="1">
        <f t="shared" si="12"/>
        <v>0.02047349116</v>
      </c>
      <c r="H50" s="1">
        <f t="shared" si="13"/>
        <v>0.0321458481</v>
      </c>
      <c r="I50" s="1">
        <f t="shared" si="14"/>
        <v>0.06616570082</v>
      </c>
      <c r="J50" s="1">
        <f t="shared" si="15"/>
        <v>0.06754932836</v>
      </c>
      <c r="K50" s="1">
        <f t="shared" si="16"/>
        <v>0.06412738058</v>
      </c>
      <c r="L50" s="1">
        <f t="shared" si="17"/>
        <v>0.03724049824</v>
      </c>
      <c r="M50" s="1">
        <f t="shared" si="18"/>
        <v>0.02322842374</v>
      </c>
      <c r="N50" s="1">
        <f t="shared" si="19"/>
        <v>0.03170259628</v>
      </c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2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2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2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2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2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2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2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2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2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2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2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2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2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2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2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2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2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2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2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2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2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2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2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2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2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2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2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2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2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2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2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2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2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2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2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2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2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2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2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2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2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2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2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2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2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2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2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2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2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2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2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2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2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2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2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2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2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2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2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2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2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2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2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2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2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2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2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2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2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2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2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2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2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2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2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2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2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2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2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2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2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2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2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2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2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2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2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2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2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2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2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2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2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2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2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2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2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2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2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2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2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2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2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2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2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2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2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2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2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2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2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2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2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2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2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2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2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2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2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2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2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2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2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2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2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2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2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2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2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2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2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2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2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2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2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2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2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2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2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2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2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2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2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2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2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2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2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2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2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2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2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2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2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2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2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2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2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2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2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2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2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2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2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2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2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2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2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2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2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2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2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2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2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2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2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2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2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2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2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2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2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2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2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2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2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2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2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2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2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2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2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2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2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2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2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2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2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2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2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2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2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2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2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2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2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2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2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2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2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2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2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2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2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2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2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2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2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2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2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2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2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2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2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2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2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2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2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2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2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2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2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2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2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2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2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2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2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2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2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2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2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2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2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2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2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2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2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2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2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2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2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2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2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2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2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2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2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2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2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2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2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2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2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2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2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2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2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2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2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2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2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2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2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2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2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2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2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2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2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2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2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2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2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2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2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2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2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2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2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2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2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2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2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2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2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2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2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2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2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2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2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2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2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2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2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2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2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2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2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2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2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2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2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2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2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2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2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2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2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2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2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2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2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2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2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2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2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2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2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2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2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2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2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2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2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2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2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2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2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2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2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2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2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2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2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2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2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2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2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2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2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2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2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2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2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2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2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2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2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2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2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2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2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2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2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2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2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2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2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2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2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2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2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2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2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2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2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2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2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2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2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2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2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2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2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2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2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2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2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2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2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2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2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2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2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2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2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2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2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2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2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2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2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2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2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2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2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2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2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2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2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2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2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2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2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2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2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2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2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2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2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2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2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2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2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2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2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2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2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2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2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2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2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2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2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2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2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2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2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2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2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2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2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2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2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2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2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2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2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2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2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2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2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2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2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2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2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2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2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2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2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2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2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2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2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2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2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2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2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2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2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2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2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2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2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2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2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2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2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2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2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2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2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2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2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2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2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2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2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2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2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2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2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2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2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2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2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2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2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2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2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2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2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2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2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2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2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2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2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2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2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2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2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2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2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2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2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2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2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2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2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2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2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2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2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2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2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2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2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2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2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2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2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2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2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2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2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2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2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2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2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2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2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2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2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2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2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2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2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2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2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2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2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2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2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2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2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2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2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2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2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2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2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2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2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2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2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2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2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2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2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2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2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2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2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2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2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2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2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2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2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2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2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2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2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2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2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2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2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2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2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2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2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2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2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2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2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2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2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2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2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2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2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2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2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2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2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2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2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2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2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2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2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2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2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2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2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2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2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2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2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2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2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2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2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2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2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2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2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2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2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2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2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2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2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2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2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2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2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2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2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2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2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2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2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2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2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2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2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2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2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2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2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2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2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2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2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2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2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2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2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2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2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2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2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2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2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2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2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2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2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2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2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2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2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2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2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2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2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2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2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2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2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2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2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2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2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2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2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2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2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2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2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2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2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2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2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2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2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2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2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2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2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2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2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2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2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2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2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2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2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2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2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2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2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2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2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2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2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2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2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2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2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2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2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2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2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2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2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2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2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2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2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2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2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2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2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2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2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2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2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2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2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2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2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2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2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2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2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2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2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2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2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2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2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2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2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2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2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2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2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2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2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2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2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2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2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2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2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2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2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2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2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2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2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2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2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2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2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2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2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2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2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2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2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2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2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2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2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2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2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2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2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2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2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2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2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2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2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2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2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2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2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2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2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2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2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2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2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2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2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2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2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2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2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2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2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2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2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2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2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2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2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2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2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2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2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2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2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2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2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2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2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2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2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2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2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2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2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2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2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2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2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2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2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2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2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2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2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2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2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2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2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2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2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2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2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2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2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2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2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2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2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2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2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2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2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2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2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2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2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2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2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2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2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2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2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2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2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2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2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2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2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2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2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2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2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2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2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2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2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2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2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2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2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2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2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2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2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2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2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2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2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2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2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2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2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2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2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2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2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2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2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2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2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2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2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2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2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2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2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2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2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2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2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2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2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2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2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2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2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2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2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2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2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2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2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2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2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2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2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2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2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2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2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Plate Reader Access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