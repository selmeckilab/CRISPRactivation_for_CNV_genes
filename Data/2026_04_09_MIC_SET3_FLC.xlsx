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-1127247360</definedName>
    <definedName name="MethodPointer2">395</definedName>
  </definedNames>
  <calcPr/>
  <extLst>
    <ext uri="GoogleSheetsCustomDataVersion2">
      <go:sheetsCustomData xmlns:go="http://customooxmlschemas.google.com/" r:id="rId7" roundtripDataChecksum="bmnYLMh9pSQVHtnFohcfbFevaeV7XjLXtVL8sfD2Q7w="/>
    </ext>
  </extLst>
</workbook>
</file>

<file path=xl/sharedStrings.xml><?xml version="1.0" encoding="utf-8"?>
<sst xmlns="http://schemas.openxmlformats.org/spreadsheetml/2006/main" count="126" uniqueCount="50">
  <si>
    <t>Software Version</t>
  </si>
  <si>
    <t>3.16.10</t>
  </si>
  <si>
    <t>Experiment File Path:</t>
  </si>
  <si>
    <t>C:\Users\Plate Reader Access\Desktop\Selmecki lab\Erika\2026_04_09_MIC_SET3_FLC.xpt</t>
  </si>
  <si>
    <t>Protocol File Path:</t>
  </si>
  <si>
    <t>C:\Users\Public\Documents\Protocols\YPAD_MIC.prt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</si>
  <si>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</si>
  <si>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</si>
  <si>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</si>
  <si>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</si>
  <si>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</si>
  <si>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</si>
  <si>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</si>
  <si>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</si>
  <si>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</si>
  <si>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</si>
  <si>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</si>
  <si>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</si>
  <si>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</si>
  <si>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</si>
  <si>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</si>
  <si>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</si>
  <si>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</si>
  <si>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</si>
  <si>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</si>
  <si>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</si>
  <si>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</si>
  <si>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</si>
  <si>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</si>
  <si>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</si>
  <si>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</si>
  <si>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</si>
  <si>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</si>
  <si>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</si>
  <si>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C26</t>
  </si>
  <si>
    <t>C27</t>
  </si>
  <si>
    <t>C36</t>
  </si>
  <si>
    <t>C37</t>
  </si>
  <si>
    <t>C21</t>
  </si>
  <si>
    <t>C22</t>
  </si>
  <si>
    <t>FLC</t>
  </si>
  <si>
    <t>no drug</t>
  </si>
  <si>
    <t>0.125 μg/ml</t>
  </si>
  <si>
    <t>0.25 μg/ml</t>
  </si>
  <si>
    <t>0.5 μg/ml</t>
  </si>
  <si>
    <t>1 μg/ml</t>
  </si>
  <si>
    <t>2 μg/ml</t>
  </si>
  <si>
    <t>4 μg/ml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</si>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</sst>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428EC7"/>
        <bgColor rgb="FF428EC7"/>
      </patternFill>
    </fill>
    <fill>
      <patternFill patternType="solid">
        <fgColor rgb="FFC9E0F4"/>
        <bgColor rgb="FFC9E0F4"/>
      </patternFill>
    </fill>
    <fill>
      <patternFill patternType="solid">
        <fgColor rgb="FFBAD7EF"/>
        <bgColor rgb="FFBAD7EF"/>
      </patternFill>
    </fill>
    <fill>
      <patternFill patternType="solid">
        <fgColor rgb="FFD8E9F9"/>
        <bgColor rgb="FFD8E9F9"/>
      </patternFill>
    </fill>
    <fill>
      <patternFill patternType="solid">
        <fgColor rgb="FF5197CC"/>
        <bgColor rgb="FF5197CC"/>
      </patternFill>
    </fill>
    <fill>
      <patternFill patternType="solid">
        <fgColor rgb="FF9CC5E5"/>
        <bgColor rgb="FF9CC5E5"/>
      </patternFill>
    </fill>
    <fill>
      <patternFill patternType="solid">
        <fgColor rgb="FFABCEEA"/>
        <bgColor rgb="FFABCEEA"/>
      </patternFill>
    </fill>
    <fill>
      <patternFill patternType="solid">
        <fgColor rgb="FF8DBCE0"/>
        <bgColor rgb="FF8DBCE0"/>
      </patternFill>
    </fill>
    <fill>
      <patternFill patternType="solid">
        <fgColor rgb="FF7EB2DB"/>
        <bgColor rgb="FF7EB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0" fillId="0" fontId="2" numFmtId="0" xfId="0" applyFont="1"/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15" width="8.63"/>
    <col customWidth="1" min="16" max="16" width="12.5"/>
    <col customWidth="1" min="17" max="28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46121.0</v>
      </c>
    </row>
    <row r="8" ht="12.75" customHeight="1">
      <c r="A8" s="1" t="s">
        <v>9</v>
      </c>
      <c r="B8" s="3">
        <v>0.6641666666666667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2.5030902E7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>
      <c r="A22" s="1" t="s">
        <v>25</v>
      </c>
      <c r="B22" s="1">
        <v>26.3</v>
      </c>
    </row>
    <row r="23" ht="12.75" customHeight="1"/>
    <row r="24" ht="12.75" customHeight="1"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</row>
    <row r="25" ht="12.75" customHeight="1">
      <c r="B25" s="7" t="s">
        <v>26</v>
      </c>
      <c r="C25" s="8">
        <v>0.102</v>
      </c>
      <c r="D25" s="8">
        <v>0.101</v>
      </c>
      <c r="E25" s="8">
        <v>0.101</v>
      </c>
      <c r="F25" s="8">
        <v>0.1</v>
      </c>
      <c r="G25" s="8">
        <v>0.102</v>
      </c>
      <c r="H25" s="8">
        <v>0.102</v>
      </c>
      <c r="I25" s="8">
        <v>0.103</v>
      </c>
      <c r="J25" s="8">
        <v>0.106</v>
      </c>
      <c r="K25" s="8">
        <v>0.102</v>
      </c>
      <c r="L25" s="8">
        <v>0.101</v>
      </c>
      <c r="M25" s="8">
        <v>0.101</v>
      </c>
      <c r="N25" s="8">
        <v>0.101</v>
      </c>
      <c r="O25" s="9">
        <v>600.0</v>
      </c>
      <c r="P25" s="1">
        <f>AVERAGE(C25:N25)</f>
        <v>0.1018333333</v>
      </c>
    </row>
    <row r="26" ht="12.75" customHeight="1">
      <c r="B26" s="7" t="s">
        <v>27</v>
      </c>
      <c r="C26" s="10">
        <v>1.307</v>
      </c>
      <c r="D26" s="10">
        <v>1.317</v>
      </c>
      <c r="E26" s="10">
        <v>1.311</v>
      </c>
      <c r="F26" s="10">
        <v>1.35</v>
      </c>
      <c r="G26" s="10">
        <v>1.359</v>
      </c>
      <c r="H26" s="10">
        <v>1.355</v>
      </c>
      <c r="I26" s="11">
        <v>1.397</v>
      </c>
      <c r="J26" s="11">
        <v>1.377</v>
      </c>
      <c r="K26" s="11">
        <v>1.399</v>
      </c>
      <c r="L26" s="10">
        <v>1.357</v>
      </c>
      <c r="M26" s="10">
        <v>1.336</v>
      </c>
      <c r="N26" s="10">
        <v>1.35</v>
      </c>
      <c r="O26" s="9">
        <v>600.0</v>
      </c>
    </row>
    <row r="27" ht="12.75" customHeight="1">
      <c r="B27" s="7" t="s">
        <v>28</v>
      </c>
      <c r="C27" s="10">
        <v>1.352</v>
      </c>
      <c r="D27" s="10">
        <v>1.311</v>
      </c>
      <c r="E27" s="11">
        <v>1.397</v>
      </c>
      <c r="F27" s="10">
        <v>1.338</v>
      </c>
      <c r="G27" s="11">
        <v>1.381</v>
      </c>
      <c r="H27" s="11">
        <v>1.379</v>
      </c>
      <c r="I27" s="11">
        <v>1.47</v>
      </c>
      <c r="J27" s="11">
        <v>1.396</v>
      </c>
      <c r="K27" s="11">
        <v>1.409</v>
      </c>
      <c r="L27" s="11">
        <v>1.386</v>
      </c>
      <c r="M27" s="10">
        <v>1.361</v>
      </c>
      <c r="N27" s="10">
        <v>1.32</v>
      </c>
      <c r="O27" s="9">
        <v>600.0</v>
      </c>
    </row>
    <row r="28" ht="12.75" customHeight="1">
      <c r="B28" s="7" t="s">
        <v>29</v>
      </c>
      <c r="C28" s="10">
        <v>1.337</v>
      </c>
      <c r="D28" s="10">
        <v>1.317</v>
      </c>
      <c r="E28" s="10">
        <v>1.37</v>
      </c>
      <c r="F28" s="12">
        <v>1.199</v>
      </c>
      <c r="G28" s="13">
        <v>0.339</v>
      </c>
      <c r="H28" s="13">
        <v>0.297</v>
      </c>
      <c r="I28" s="11">
        <v>1.393</v>
      </c>
      <c r="J28" s="13">
        <v>0.373</v>
      </c>
      <c r="K28" s="14">
        <v>0.435</v>
      </c>
      <c r="L28" s="11">
        <v>1.408</v>
      </c>
      <c r="M28" s="14">
        <v>0.441</v>
      </c>
      <c r="N28" s="14">
        <v>0.408</v>
      </c>
      <c r="O28" s="9">
        <v>600.0</v>
      </c>
    </row>
    <row r="29" ht="12.75" customHeight="1">
      <c r="B29" s="7" t="s">
        <v>30</v>
      </c>
      <c r="C29" s="10">
        <v>1.354</v>
      </c>
      <c r="D29" s="10">
        <v>1.331</v>
      </c>
      <c r="E29" s="11">
        <v>1.372</v>
      </c>
      <c r="F29" s="15">
        <v>0.26</v>
      </c>
      <c r="G29" s="15">
        <v>0.203</v>
      </c>
      <c r="H29" s="8">
        <v>0.178</v>
      </c>
      <c r="I29" s="13">
        <v>0.324</v>
      </c>
      <c r="J29" s="15">
        <v>0.23</v>
      </c>
      <c r="K29" s="15">
        <v>0.24</v>
      </c>
      <c r="L29" s="13">
        <v>0.313</v>
      </c>
      <c r="M29" s="15">
        <v>0.2</v>
      </c>
      <c r="N29" s="8">
        <v>0.191</v>
      </c>
      <c r="O29" s="9">
        <v>600.0</v>
      </c>
    </row>
    <row r="30" ht="12.75" customHeight="1">
      <c r="B30" s="7" t="s">
        <v>31</v>
      </c>
      <c r="C30" s="10">
        <v>1.333</v>
      </c>
      <c r="D30" s="16">
        <v>1.159</v>
      </c>
      <c r="E30" s="12">
        <v>1.211</v>
      </c>
      <c r="F30" s="8">
        <v>0.183</v>
      </c>
      <c r="G30" s="8">
        <v>0.161</v>
      </c>
      <c r="H30" s="8">
        <v>0.158</v>
      </c>
      <c r="I30" s="15">
        <v>0.236</v>
      </c>
      <c r="J30" s="15">
        <v>0.206</v>
      </c>
      <c r="K30" s="15">
        <v>0.21</v>
      </c>
      <c r="L30" s="8">
        <v>0.196</v>
      </c>
      <c r="M30" s="8">
        <v>0.164</v>
      </c>
      <c r="N30" s="8">
        <v>0.154</v>
      </c>
      <c r="O30" s="9">
        <v>600.0</v>
      </c>
    </row>
    <row r="31" ht="12.75" customHeight="1">
      <c r="B31" s="7" t="s">
        <v>32</v>
      </c>
      <c r="C31" s="17">
        <v>0.67</v>
      </c>
      <c r="D31" s="15">
        <v>0.214</v>
      </c>
      <c r="E31" s="15">
        <v>0.245</v>
      </c>
      <c r="F31" s="8">
        <v>0.144</v>
      </c>
      <c r="G31" s="8">
        <v>0.138</v>
      </c>
      <c r="H31" s="8">
        <v>0.142</v>
      </c>
      <c r="I31" s="15">
        <v>0.202</v>
      </c>
      <c r="J31" s="8">
        <v>0.173</v>
      </c>
      <c r="K31" s="8">
        <v>0.19</v>
      </c>
      <c r="L31" s="8">
        <v>0.166</v>
      </c>
      <c r="M31" s="8">
        <v>0.137</v>
      </c>
      <c r="N31" s="8">
        <v>0.143</v>
      </c>
      <c r="O31" s="9">
        <v>600.0</v>
      </c>
    </row>
    <row r="32" ht="12.75" customHeight="1">
      <c r="B32" s="7" t="s">
        <v>33</v>
      </c>
      <c r="C32" s="8">
        <v>0.171</v>
      </c>
      <c r="D32" s="8">
        <v>0.156</v>
      </c>
      <c r="E32" s="8">
        <v>0.152</v>
      </c>
      <c r="F32" s="8">
        <v>0.125</v>
      </c>
      <c r="G32" s="8">
        <v>0.117</v>
      </c>
      <c r="H32" s="8">
        <v>0.119</v>
      </c>
      <c r="I32" s="8">
        <v>0.173</v>
      </c>
      <c r="J32" s="8">
        <v>0.154</v>
      </c>
      <c r="K32" s="8">
        <v>0.156</v>
      </c>
      <c r="L32" s="8">
        <v>0.141</v>
      </c>
      <c r="M32" s="8">
        <v>0.134</v>
      </c>
      <c r="N32" s="8">
        <v>0.136</v>
      </c>
      <c r="O32" s="9">
        <v>600.0</v>
      </c>
    </row>
    <row r="33" ht="12.75" customHeight="1"/>
    <row r="34" ht="12.75" customHeight="1"/>
    <row r="35" ht="12.75" customHeight="1">
      <c r="C35" s="1">
        <f t="shared" ref="C35:N35" si="1">C26-$P$25</f>
        <v>1.205166667</v>
      </c>
      <c r="D35" s="1">
        <f t="shared" si="1"/>
        <v>1.215166667</v>
      </c>
      <c r="E35" s="1">
        <f t="shared" si="1"/>
        <v>1.209166667</v>
      </c>
      <c r="F35" s="1">
        <f t="shared" si="1"/>
        <v>1.248166667</v>
      </c>
      <c r="G35" s="1">
        <f t="shared" si="1"/>
        <v>1.257166667</v>
      </c>
      <c r="H35" s="1">
        <f t="shared" si="1"/>
        <v>1.253166667</v>
      </c>
      <c r="I35" s="1">
        <f t="shared" si="1"/>
        <v>1.295166667</v>
      </c>
      <c r="J35" s="1">
        <f t="shared" si="1"/>
        <v>1.275166667</v>
      </c>
      <c r="K35" s="1">
        <f t="shared" si="1"/>
        <v>1.297166667</v>
      </c>
      <c r="L35" s="1">
        <f t="shared" si="1"/>
        <v>1.255166667</v>
      </c>
      <c r="M35" s="1">
        <f t="shared" si="1"/>
        <v>1.234166667</v>
      </c>
      <c r="N35" s="1">
        <f t="shared" si="1"/>
        <v>1.248166667</v>
      </c>
    </row>
    <row r="36" ht="12.75" customHeight="1">
      <c r="C36" s="1">
        <f t="shared" ref="C36:N36" si="2">C27-$P$25</f>
        <v>1.250166667</v>
      </c>
      <c r="D36" s="1">
        <f t="shared" si="2"/>
        <v>1.209166667</v>
      </c>
      <c r="E36" s="1">
        <f t="shared" si="2"/>
        <v>1.295166667</v>
      </c>
      <c r="F36" s="1">
        <f t="shared" si="2"/>
        <v>1.236166667</v>
      </c>
      <c r="G36" s="1">
        <f t="shared" si="2"/>
        <v>1.279166667</v>
      </c>
      <c r="H36" s="1">
        <f t="shared" si="2"/>
        <v>1.277166667</v>
      </c>
      <c r="I36" s="1">
        <f t="shared" si="2"/>
        <v>1.368166667</v>
      </c>
      <c r="J36" s="1">
        <f t="shared" si="2"/>
        <v>1.294166667</v>
      </c>
      <c r="K36" s="1">
        <f t="shared" si="2"/>
        <v>1.307166667</v>
      </c>
      <c r="L36" s="1">
        <f t="shared" si="2"/>
        <v>1.284166667</v>
      </c>
      <c r="M36" s="1">
        <f t="shared" si="2"/>
        <v>1.259166667</v>
      </c>
      <c r="N36" s="1">
        <f t="shared" si="2"/>
        <v>1.218166667</v>
      </c>
    </row>
    <row r="37" ht="12.75" customHeight="1">
      <c r="C37" s="1">
        <f t="shared" ref="C37:N37" si="3">C28-$P$25</f>
        <v>1.235166667</v>
      </c>
      <c r="D37" s="1">
        <f t="shared" si="3"/>
        <v>1.215166667</v>
      </c>
      <c r="E37" s="1">
        <f t="shared" si="3"/>
        <v>1.268166667</v>
      </c>
      <c r="F37" s="1">
        <f t="shared" si="3"/>
        <v>1.097166667</v>
      </c>
      <c r="G37" s="1">
        <f t="shared" si="3"/>
        <v>0.2371666667</v>
      </c>
      <c r="H37" s="1">
        <f t="shared" si="3"/>
        <v>0.1951666667</v>
      </c>
      <c r="I37" s="1">
        <f t="shared" si="3"/>
        <v>1.291166667</v>
      </c>
      <c r="J37" s="1">
        <f t="shared" si="3"/>
        <v>0.2711666667</v>
      </c>
      <c r="K37" s="1">
        <f t="shared" si="3"/>
        <v>0.3331666667</v>
      </c>
      <c r="L37" s="1">
        <f t="shared" si="3"/>
        <v>1.306166667</v>
      </c>
      <c r="M37" s="1">
        <f t="shared" si="3"/>
        <v>0.3391666667</v>
      </c>
      <c r="N37" s="1">
        <f t="shared" si="3"/>
        <v>0.3061666667</v>
      </c>
    </row>
    <row r="38" ht="12.75" customHeight="1">
      <c r="C38" s="1">
        <f t="shared" ref="C38:N38" si="4">C29-$P$25</f>
        <v>1.252166667</v>
      </c>
      <c r="D38" s="1">
        <f t="shared" si="4"/>
        <v>1.229166667</v>
      </c>
      <c r="E38" s="1">
        <f t="shared" si="4"/>
        <v>1.270166667</v>
      </c>
      <c r="F38" s="1">
        <f t="shared" si="4"/>
        <v>0.1581666667</v>
      </c>
      <c r="G38" s="1">
        <f t="shared" si="4"/>
        <v>0.1011666667</v>
      </c>
      <c r="H38" s="1">
        <f t="shared" si="4"/>
        <v>0.07616666667</v>
      </c>
      <c r="I38" s="1">
        <f t="shared" si="4"/>
        <v>0.2221666667</v>
      </c>
      <c r="J38" s="1">
        <f t="shared" si="4"/>
        <v>0.1281666667</v>
      </c>
      <c r="K38" s="1">
        <f t="shared" si="4"/>
        <v>0.1381666667</v>
      </c>
      <c r="L38" s="1">
        <f t="shared" si="4"/>
        <v>0.2111666667</v>
      </c>
      <c r="M38" s="1">
        <f t="shared" si="4"/>
        <v>0.09816666667</v>
      </c>
      <c r="N38" s="1">
        <f t="shared" si="4"/>
        <v>0.08916666667</v>
      </c>
    </row>
    <row r="39" ht="12.75" customHeight="1">
      <c r="C39" s="1">
        <f t="shared" ref="C39:N39" si="5">C30-$P$25</f>
        <v>1.231166667</v>
      </c>
      <c r="D39" s="1">
        <f t="shared" si="5"/>
        <v>1.057166667</v>
      </c>
      <c r="E39" s="1">
        <f t="shared" si="5"/>
        <v>1.109166667</v>
      </c>
      <c r="F39" s="1">
        <f t="shared" si="5"/>
        <v>0.08116666667</v>
      </c>
      <c r="G39" s="1">
        <f t="shared" si="5"/>
        <v>0.05916666667</v>
      </c>
      <c r="H39" s="1">
        <f t="shared" si="5"/>
        <v>0.05616666667</v>
      </c>
      <c r="I39" s="1">
        <f t="shared" si="5"/>
        <v>0.1341666667</v>
      </c>
      <c r="J39" s="1">
        <f t="shared" si="5"/>
        <v>0.1041666667</v>
      </c>
      <c r="K39" s="1">
        <f t="shared" si="5"/>
        <v>0.1081666667</v>
      </c>
      <c r="L39" s="1">
        <f t="shared" si="5"/>
        <v>0.09416666667</v>
      </c>
      <c r="M39" s="1">
        <f t="shared" si="5"/>
        <v>0.06216666667</v>
      </c>
      <c r="N39" s="1">
        <f t="shared" si="5"/>
        <v>0.05216666667</v>
      </c>
    </row>
    <row r="40" ht="12.75" customHeight="1">
      <c r="C40" s="1">
        <f t="shared" ref="C40:N40" si="6">C31-$P$25</f>
        <v>0.5681666667</v>
      </c>
      <c r="D40" s="1">
        <f t="shared" si="6"/>
        <v>0.1121666667</v>
      </c>
      <c r="E40" s="1">
        <f t="shared" si="6"/>
        <v>0.1431666667</v>
      </c>
      <c r="F40" s="1">
        <f t="shared" si="6"/>
        <v>0.04216666667</v>
      </c>
      <c r="G40" s="1">
        <f t="shared" si="6"/>
        <v>0.03616666667</v>
      </c>
      <c r="H40" s="1">
        <f t="shared" si="6"/>
        <v>0.04016666667</v>
      </c>
      <c r="I40" s="1">
        <f t="shared" si="6"/>
        <v>0.1001666667</v>
      </c>
      <c r="J40" s="1">
        <f t="shared" si="6"/>
        <v>0.07116666667</v>
      </c>
      <c r="K40" s="1">
        <f t="shared" si="6"/>
        <v>0.08816666667</v>
      </c>
      <c r="L40" s="1">
        <f t="shared" si="6"/>
        <v>0.06416666667</v>
      </c>
      <c r="M40" s="1">
        <f t="shared" si="6"/>
        <v>0.03516666667</v>
      </c>
      <c r="N40" s="1">
        <f t="shared" si="6"/>
        <v>0.04116666667</v>
      </c>
    </row>
    <row r="41" ht="12.75" customHeight="1">
      <c r="C41" s="1">
        <f t="shared" ref="C41:N41" si="7">C32-$P$25</f>
        <v>0.06916666667</v>
      </c>
      <c r="D41" s="1">
        <f t="shared" si="7"/>
        <v>0.05416666667</v>
      </c>
      <c r="E41" s="1">
        <f t="shared" si="7"/>
        <v>0.05016666667</v>
      </c>
      <c r="F41" s="1">
        <f t="shared" si="7"/>
        <v>0.02316666667</v>
      </c>
      <c r="G41" s="1">
        <f t="shared" si="7"/>
        <v>0.01516666667</v>
      </c>
      <c r="H41" s="1">
        <f t="shared" si="7"/>
        <v>0.01716666667</v>
      </c>
      <c r="I41" s="1">
        <f t="shared" si="7"/>
        <v>0.07116666667</v>
      </c>
      <c r="J41" s="1">
        <f t="shared" si="7"/>
        <v>0.05216666667</v>
      </c>
      <c r="K41" s="1">
        <f t="shared" si="7"/>
        <v>0.05416666667</v>
      </c>
      <c r="L41" s="1">
        <f t="shared" si="7"/>
        <v>0.03916666667</v>
      </c>
      <c r="M41" s="1">
        <f t="shared" si="7"/>
        <v>0.03216666667</v>
      </c>
      <c r="N41" s="1">
        <f t="shared" si="7"/>
        <v>0.03416666667</v>
      </c>
    </row>
    <row r="42" ht="12.75" customHeight="1"/>
    <row r="43" ht="12.75" customHeight="1">
      <c r="C43" s="18">
        <v>2868.0</v>
      </c>
      <c r="D43" s="18" t="s">
        <v>34</v>
      </c>
      <c r="E43" s="18" t="s">
        <v>35</v>
      </c>
      <c r="F43" s="18">
        <v>2875.0</v>
      </c>
      <c r="G43" s="18" t="s">
        <v>36</v>
      </c>
      <c r="H43" s="18" t="s">
        <v>37</v>
      </c>
      <c r="I43" s="1">
        <v>2876.0</v>
      </c>
      <c r="J43" s="18" t="s">
        <v>38</v>
      </c>
      <c r="K43" s="18" t="s">
        <v>34</v>
      </c>
      <c r="L43" s="18">
        <v>5192.0</v>
      </c>
      <c r="M43" s="18" t="s">
        <v>38</v>
      </c>
      <c r="N43" s="18" t="s">
        <v>39</v>
      </c>
    </row>
    <row r="44" ht="12.75" customHeight="1"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P44" s="1" t="s">
        <v>40</v>
      </c>
      <c r="Q44" s="18">
        <v>2868.0</v>
      </c>
      <c r="R44" s="18" t="s">
        <v>34</v>
      </c>
      <c r="S44" s="18" t="s">
        <v>35</v>
      </c>
      <c r="T44" s="18">
        <v>2875.0</v>
      </c>
      <c r="U44" s="18" t="s">
        <v>36</v>
      </c>
      <c r="V44" s="18" t="s">
        <v>37</v>
      </c>
      <c r="W44" s="1">
        <v>2876.0</v>
      </c>
      <c r="X44" s="18" t="s">
        <v>38</v>
      </c>
      <c r="Y44" s="18" t="s">
        <v>34</v>
      </c>
      <c r="Z44" s="18">
        <v>5192.0</v>
      </c>
      <c r="AA44" s="18" t="s">
        <v>38</v>
      </c>
      <c r="AB44" s="18" t="s">
        <v>39</v>
      </c>
    </row>
    <row r="45" ht="12.75" customHeight="1">
      <c r="C45" s="1">
        <f t="shared" si="8"/>
        <v>1.037339234</v>
      </c>
      <c r="D45" s="1">
        <f t="shared" si="9"/>
        <v>0.9950624057</v>
      </c>
      <c r="E45" s="1">
        <f t="shared" si="10"/>
        <v>1.071123363</v>
      </c>
      <c r="F45" s="1">
        <f t="shared" si="11"/>
        <v>0.9903858993</v>
      </c>
      <c r="G45" s="1">
        <f t="shared" si="12"/>
        <v>1.017499669</v>
      </c>
      <c r="H45" s="1">
        <f t="shared" si="13"/>
        <v>1.019151483</v>
      </c>
      <c r="I45" s="1">
        <f t="shared" si="14"/>
        <v>1.056363402</v>
      </c>
      <c r="J45" s="1">
        <f t="shared" si="15"/>
        <v>1.014900013</v>
      </c>
      <c r="K45" s="1">
        <f t="shared" si="16"/>
        <v>1.00770911</v>
      </c>
      <c r="L45" s="1">
        <f t="shared" si="17"/>
        <v>1.023104501</v>
      </c>
      <c r="M45" s="1">
        <f t="shared" si="18"/>
        <v>1.020256583</v>
      </c>
      <c r="N45" s="1">
        <f t="shared" si="19"/>
        <v>0.9759647483</v>
      </c>
      <c r="P45" s="1" t="s">
        <v>41</v>
      </c>
      <c r="Q45" s="1">
        <f t="shared" ref="Q45:AB45" si="20">AVERAGE(C44,C53,C62)</f>
        <v>1</v>
      </c>
      <c r="R45" s="1">
        <f t="shared" si="20"/>
        <v>1</v>
      </c>
      <c r="S45" s="1">
        <f t="shared" si="20"/>
        <v>1</v>
      </c>
      <c r="T45" s="1">
        <f t="shared" si="20"/>
        <v>1</v>
      </c>
      <c r="U45" s="1">
        <f t="shared" si="20"/>
        <v>1</v>
      </c>
      <c r="V45" s="1">
        <f t="shared" si="20"/>
        <v>1</v>
      </c>
      <c r="W45" s="1">
        <f t="shared" si="20"/>
        <v>1</v>
      </c>
      <c r="X45" s="1">
        <f t="shared" si="20"/>
        <v>1</v>
      </c>
      <c r="Y45" s="1">
        <f t="shared" si="20"/>
        <v>1</v>
      </c>
      <c r="Z45" s="1">
        <f t="shared" si="20"/>
        <v>1</v>
      </c>
      <c r="AA45" s="1">
        <f t="shared" si="20"/>
        <v>1</v>
      </c>
      <c r="AB45" s="1">
        <f t="shared" si="20"/>
        <v>1</v>
      </c>
    </row>
    <row r="46" ht="12.75" customHeight="1">
      <c r="C46" s="1">
        <f t="shared" si="8"/>
        <v>1.024892823</v>
      </c>
      <c r="D46" s="1">
        <f t="shared" si="9"/>
        <v>1</v>
      </c>
      <c r="E46" s="1">
        <f t="shared" si="10"/>
        <v>1.048793935</v>
      </c>
      <c r="F46" s="1">
        <f t="shared" si="11"/>
        <v>0.8790225664</v>
      </c>
      <c r="G46" s="1">
        <f t="shared" si="12"/>
        <v>0.1886517301</v>
      </c>
      <c r="H46" s="1">
        <f t="shared" si="13"/>
        <v>0.1557387951</v>
      </c>
      <c r="I46" s="1">
        <f t="shared" si="14"/>
        <v>0.9969115944</v>
      </c>
      <c r="J46" s="1">
        <f t="shared" si="15"/>
        <v>0.2126519409</v>
      </c>
      <c r="K46" s="1">
        <f t="shared" si="16"/>
        <v>0.2568418348</v>
      </c>
      <c r="L46" s="1">
        <f t="shared" si="17"/>
        <v>1.040632054</v>
      </c>
      <c r="M46" s="1">
        <f t="shared" si="18"/>
        <v>0.2748143147</v>
      </c>
      <c r="N46" s="1">
        <f t="shared" si="19"/>
        <v>0.2452930965</v>
      </c>
      <c r="P46" s="1" t="s">
        <v>42</v>
      </c>
      <c r="Q46" s="1">
        <f t="shared" ref="Q46:AB46" si="21">AVERAGE(C45,C54,C63)</f>
        <v>1.024926623</v>
      </c>
      <c r="R46" s="1">
        <f t="shared" si="21"/>
        <v>1.009912275</v>
      </c>
      <c r="S46" s="1">
        <f t="shared" si="21"/>
        <v>1.023560582</v>
      </c>
      <c r="T46" s="1">
        <f t="shared" si="21"/>
        <v>0.9925412682</v>
      </c>
      <c r="U46" s="1">
        <f t="shared" si="21"/>
        <v>0.9916649959</v>
      </c>
      <c r="V46" s="1">
        <f t="shared" si="21"/>
        <v>0.9764490961</v>
      </c>
      <c r="W46" s="1">
        <f t="shared" si="21"/>
        <v>0.9874609052</v>
      </c>
      <c r="X46" s="1">
        <f t="shared" si="21"/>
        <v>0.9725244592</v>
      </c>
      <c r="Y46" s="1">
        <f t="shared" si="21"/>
        <v>0.9792482239</v>
      </c>
      <c r="Z46" s="1">
        <f t="shared" si="21"/>
        <v>0.9886461147</v>
      </c>
      <c r="AA46" s="1">
        <f t="shared" si="21"/>
        <v>0.9585205508</v>
      </c>
      <c r="AB46" s="1">
        <f t="shared" si="21"/>
        <v>0.9794245154</v>
      </c>
    </row>
    <row r="47" ht="12.75" customHeight="1">
      <c r="C47" s="1">
        <f t="shared" si="8"/>
        <v>1.038998755</v>
      </c>
      <c r="D47" s="1">
        <f t="shared" si="9"/>
        <v>1.011521053</v>
      </c>
      <c r="E47" s="1">
        <f t="shared" si="10"/>
        <v>1.050447967</v>
      </c>
      <c r="F47" s="1">
        <f t="shared" si="11"/>
        <v>0.1267191881</v>
      </c>
      <c r="G47" s="1">
        <f t="shared" si="12"/>
        <v>0.08047196076</v>
      </c>
      <c r="H47" s="1">
        <f t="shared" si="13"/>
        <v>0.06077935896</v>
      </c>
      <c r="I47" s="1">
        <f t="shared" si="14"/>
        <v>0.171535195</v>
      </c>
      <c r="J47" s="1">
        <f t="shared" si="15"/>
        <v>0.1005097373</v>
      </c>
      <c r="K47" s="1">
        <f t="shared" si="16"/>
        <v>0.1065141976</v>
      </c>
      <c r="L47" s="1">
        <f t="shared" si="17"/>
        <v>0.1682379498</v>
      </c>
      <c r="M47" s="1">
        <f t="shared" si="18"/>
        <v>0.07954085078</v>
      </c>
      <c r="N47" s="1">
        <f t="shared" si="19"/>
        <v>0.07143810923</v>
      </c>
      <c r="P47" s="1" t="s">
        <v>43</v>
      </c>
      <c r="Q47" s="1">
        <f t="shared" ref="Q47:AB47" si="22">AVERAGE(C46,C55,C64)</f>
        <v>0.9967586419</v>
      </c>
      <c r="R47" s="1">
        <f t="shared" si="22"/>
        <v>1.002578426</v>
      </c>
      <c r="S47" s="1">
        <f t="shared" si="22"/>
        <v>1.006634501</v>
      </c>
      <c r="T47" s="1">
        <f t="shared" si="22"/>
        <v>0.8671424866</v>
      </c>
      <c r="U47" s="1">
        <f t="shared" si="22"/>
        <v>0.22746972</v>
      </c>
      <c r="V47" s="1">
        <f t="shared" si="22"/>
        <v>0.2029640429</v>
      </c>
      <c r="W47" s="1">
        <f t="shared" si="22"/>
        <v>0.9226212066</v>
      </c>
      <c r="X47" s="1">
        <f t="shared" si="22"/>
        <v>0.2330776778</v>
      </c>
      <c r="Y47" s="1">
        <f t="shared" si="22"/>
        <v>0.2818126782</v>
      </c>
      <c r="Z47" s="1">
        <f t="shared" si="22"/>
        <v>0.9592085559</v>
      </c>
      <c r="AA47" s="1">
        <f t="shared" si="22"/>
        <v>0.2944656769</v>
      </c>
      <c r="AB47" s="1">
        <f t="shared" si="22"/>
        <v>0.2954747988</v>
      </c>
    </row>
    <row r="48" ht="12.75" customHeight="1">
      <c r="C48" s="1">
        <f t="shared" si="8"/>
        <v>1.02157378</v>
      </c>
      <c r="D48" s="1">
        <f t="shared" si="9"/>
        <v>0.8699766836</v>
      </c>
      <c r="E48" s="1">
        <f t="shared" si="10"/>
        <v>0.9172984149</v>
      </c>
      <c r="F48" s="1">
        <f t="shared" si="11"/>
        <v>0.06502870877</v>
      </c>
      <c r="G48" s="1">
        <f t="shared" si="12"/>
        <v>0.04706350259</v>
      </c>
      <c r="H48" s="1">
        <f t="shared" si="13"/>
        <v>0.04481978987</v>
      </c>
      <c r="I48" s="1">
        <f t="shared" si="14"/>
        <v>0.1035902715</v>
      </c>
      <c r="J48" s="1">
        <f t="shared" si="15"/>
        <v>0.08168866815</v>
      </c>
      <c r="K48" s="1">
        <f t="shared" si="16"/>
        <v>0.08338686882</v>
      </c>
      <c r="L48" s="1">
        <f t="shared" si="17"/>
        <v>0.07502323729</v>
      </c>
      <c r="M48" s="1">
        <f t="shared" si="18"/>
        <v>0.0503713707</v>
      </c>
      <c r="N48" s="1">
        <f t="shared" si="19"/>
        <v>0.04179463213</v>
      </c>
      <c r="P48" s="1" t="s">
        <v>44</v>
      </c>
      <c r="Q48" s="1">
        <f t="shared" ref="Q48:AB48" si="23">AVERAGE(C47,C56,C65)</f>
        <v>0.9913397593</v>
      </c>
      <c r="R48" s="1">
        <f t="shared" si="23"/>
        <v>1.004377024</v>
      </c>
      <c r="S48" s="1">
        <f t="shared" si="23"/>
        <v>1.00288113</v>
      </c>
      <c r="T48" s="1">
        <f t="shared" si="23"/>
        <v>0.1497155374</v>
      </c>
      <c r="U48" s="1">
        <f t="shared" si="23"/>
        <v>0.08252735141</v>
      </c>
      <c r="V48" s="1">
        <f t="shared" si="23"/>
        <v>0.06818883956</v>
      </c>
      <c r="W48" s="1">
        <f t="shared" si="23"/>
        <v>0.1716021544</v>
      </c>
      <c r="X48" s="1">
        <f t="shared" si="23"/>
        <v>0.1135358358</v>
      </c>
      <c r="Y48" s="1">
        <f t="shared" si="23"/>
        <v>0.1189144843</v>
      </c>
      <c r="Z48" s="1">
        <f t="shared" si="23"/>
        <v>0.1815381302</v>
      </c>
      <c r="AA48" s="1">
        <f t="shared" si="23"/>
        <v>0.09474325472</v>
      </c>
      <c r="AB48" s="1">
        <f t="shared" si="23"/>
        <v>0.08446147482</v>
      </c>
    </row>
    <row r="49" ht="12.75" customHeight="1">
      <c r="C49" s="1">
        <f t="shared" si="8"/>
        <v>0.4714424008</v>
      </c>
      <c r="D49" s="1">
        <f t="shared" si="9"/>
        <v>0.09230558222</v>
      </c>
      <c r="E49" s="1">
        <f t="shared" si="10"/>
        <v>0.1184011027</v>
      </c>
      <c r="F49" s="1">
        <f t="shared" si="11"/>
        <v>0.03378288156</v>
      </c>
      <c r="G49" s="1">
        <f t="shared" si="12"/>
        <v>0.02876839454</v>
      </c>
      <c r="H49" s="1">
        <f t="shared" si="13"/>
        <v>0.03205213459</v>
      </c>
      <c r="I49" s="1">
        <f t="shared" si="14"/>
        <v>0.07733882383</v>
      </c>
      <c r="J49" s="1">
        <f t="shared" si="15"/>
        <v>0.05580969808</v>
      </c>
      <c r="K49" s="1">
        <f t="shared" si="16"/>
        <v>0.06796864962</v>
      </c>
      <c r="L49" s="1">
        <f t="shared" si="17"/>
        <v>0.05112202895</v>
      </c>
      <c r="M49" s="1">
        <f t="shared" si="18"/>
        <v>0.02849426063</v>
      </c>
      <c r="N49" s="1">
        <f t="shared" si="19"/>
        <v>0.0329817065</v>
      </c>
      <c r="P49" s="1" t="s">
        <v>45</v>
      </c>
      <c r="Q49" s="1">
        <f t="shared" ref="Q49:AB49" si="24">AVERAGE(C48,C57,C66)</f>
        <v>0.9897801679</v>
      </c>
      <c r="R49" s="1">
        <f t="shared" si="24"/>
        <v>0.8879307699</v>
      </c>
      <c r="S49" s="1">
        <f t="shared" si="24"/>
        <v>0.8956399624</v>
      </c>
      <c r="T49" s="1">
        <f t="shared" si="24"/>
        <v>0.07469217327</v>
      </c>
      <c r="U49" s="1">
        <f t="shared" si="24"/>
        <v>0.05347987402</v>
      </c>
      <c r="V49" s="1">
        <f t="shared" si="24"/>
        <v>0.04914237227</v>
      </c>
      <c r="W49" s="1">
        <f t="shared" si="24"/>
        <v>0.119819417</v>
      </c>
      <c r="X49" s="1">
        <f t="shared" si="24"/>
        <v>0.08758730271</v>
      </c>
      <c r="Y49" s="1">
        <f t="shared" si="24"/>
        <v>0.09421815722</v>
      </c>
      <c r="Z49" s="1">
        <f t="shared" si="24"/>
        <v>0.09350068794</v>
      </c>
      <c r="AA49" s="1">
        <f t="shared" si="24"/>
        <v>0.06371806783</v>
      </c>
      <c r="AB49" s="1">
        <f t="shared" si="24"/>
        <v>0.05057449515</v>
      </c>
    </row>
    <row r="50" ht="12.75" customHeight="1">
      <c r="C50" s="1">
        <f t="shared" si="8"/>
        <v>0.05739178537</v>
      </c>
      <c r="D50" s="1">
        <f t="shared" si="9"/>
        <v>0.04457550405</v>
      </c>
      <c r="E50" s="1">
        <f t="shared" si="10"/>
        <v>0.04148862853</v>
      </c>
      <c r="F50" s="1">
        <f t="shared" si="11"/>
        <v>0.01856055548</v>
      </c>
      <c r="G50" s="1">
        <f t="shared" si="12"/>
        <v>0.01206416545</v>
      </c>
      <c r="H50" s="1">
        <f t="shared" si="13"/>
        <v>0.01369863014</v>
      </c>
      <c r="I50" s="1">
        <f t="shared" si="14"/>
        <v>0.05494788316</v>
      </c>
      <c r="J50" s="1">
        <f t="shared" si="15"/>
        <v>0.04090968501</v>
      </c>
      <c r="K50" s="1">
        <f t="shared" si="16"/>
        <v>0.04175767699</v>
      </c>
      <c r="L50" s="1">
        <f t="shared" si="17"/>
        <v>0.03120435533</v>
      </c>
      <c r="M50" s="1">
        <f t="shared" si="18"/>
        <v>0.02606347063</v>
      </c>
      <c r="N50" s="1">
        <f t="shared" si="19"/>
        <v>0.02737348111</v>
      </c>
      <c r="P50" s="1" t="s">
        <v>46</v>
      </c>
      <c r="Q50" s="1">
        <f t="shared" ref="Q50:AB50" si="25">AVERAGE(C49,C58,C67)</f>
        <v>0.5176965127</v>
      </c>
      <c r="R50" s="1">
        <f t="shared" si="25"/>
        <v>0.1242294274</v>
      </c>
      <c r="S50" s="1">
        <f t="shared" si="25"/>
        <v>0.1383171283</v>
      </c>
      <c r="T50" s="1">
        <f t="shared" si="25"/>
        <v>0.04819542489</v>
      </c>
      <c r="U50" s="1">
        <f t="shared" si="25"/>
        <v>0.03455601797</v>
      </c>
      <c r="V50" s="1">
        <f t="shared" si="25"/>
        <v>0.03420613887</v>
      </c>
      <c r="W50" s="1">
        <f t="shared" si="25"/>
        <v>0.09788747712</v>
      </c>
      <c r="X50" s="1">
        <f t="shared" si="25"/>
        <v>0.07225897002</v>
      </c>
      <c r="Y50" s="1">
        <f t="shared" si="25"/>
        <v>0.07776860131</v>
      </c>
      <c r="Z50" s="1">
        <f t="shared" si="25"/>
        <v>0.05967198527</v>
      </c>
      <c r="AA50" s="1">
        <f t="shared" si="25"/>
        <v>0.0437421901</v>
      </c>
      <c r="AB50" s="1">
        <f t="shared" si="25"/>
        <v>0.03649715492</v>
      </c>
    </row>
    <row r="51" ht="12.75" customHeight="1">
      <c r="P51" s="1" t="s">
        <v>47</v>
      </c>
      <c r="Q51" s="1">
        <f t="shared" ref="Q51:AB51" si="26">AVERAGE(C50,C59,C68)</f>
        <v>0.06056286672</v>
      </c>
      <c r="R51" s="1">
        <f t="shared" si="26"/>
        <v>0.04380831558</v>
      </c>
      <c r="S51" s="1">
        <f t="shared" si="26"/>
        <v>0.04299561375</v>
      </c>
      <c r="T51" s="1">
        <f t="shared" si="26"/>
        <v>0.02024516265</v>
      </c>
      <c r="U51" s="1">
        <f t="shared" si="26"/>
        <v>0.0105529384</v>
      </c>
      <c r="V51" s="1">
        <f t="shared" si="26"/>
        <v>0.008390273503</v>
      </c>
      <c r="W51" s="1">
        <f t="shared" si="26"/>
        <v>0.07044210453</v>
      </c>
      <c r="X51" s="1">
        <f t="shared" si="26"/>
        <v>0.04917936521</v>
      </c>
      <c r="Y51" s="1">
        <f t="shared" si="26"/>
        <v>0.05081995315</v>
      </c>
      <c r="Z51" s="1">
        <f t="shared" si="26"/>
        <v>0.03099319707</v>
      </c>
      <c r="AA51" s="1">
        <f t="shared" si="26"/>
        <v>0.02694235225</v>
      </c>
      <c r="AB51" s="1">
        <f t="shared" si="26"/>
        <v>0.02973686188</v>
      </c>
    </row>
    <row r="52" ht="12.75" customHeight="1"/>
    <row r="53" ht="12.75" customHeight="1"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</row>
    <row r="54" ht="12.75" customHeight="1">
      <c r="C54" s="1">
        <v>1.0169332079021636</v>
      </c>
      <c r="D54" s="1">
        <v>1.0263964804692707</v>
      </c>
      <c r="E54" s="1">
        <v>0.987472269346209</v>
      </c>
      <c r="F54" s="1">
        <v>1.0170256674835545</v>
      </c>
      <c r="G54" s="1">
        <v>0.9642630845266759</v>
      </c>
      <c r="H54" s="1">
        <v>0.9601253918495298</v>
      </c>
      <c r="I54" s="1">
        <v>0.9501864998195163</v>
      </c>
      <c r="J54" s="1">
        <v>0.9719591686139465</v>
      </c>
      <c r="K54" s="1">
        <v>0.9676747887841313</v>
      </c>
      <c r="L54" s="1">
        <v>0.959203857089875</v>
      </c>
      <c r="M54" s="1">
        <v>0.938074260541221</v>
      </c>
      <c r="N54" s="1">
        <v>0.957369848856737</v>
      </c>
    </row>
    <row r="55" ht="12.75" customHeight="1">
      <c r="C55" s="1">
        <v>1.0040317161671817</v>
      </c>
      <c r="D55" s="1">
        <v>1.0543927476336485</v>
      </c>
      <c r="E55" s="1">
        <v>1.037583191961373</v>
      </c>
      <c r="F55" s="1">
        <v>0.886237585450793</v>
      </c>
      <c r="G55" s="1">
        <v>0.24648333544544415</v>
      </c>
      <c r="H55" s="1">
        <v>0.2220689655172414</v>
      </c>
      <c r="I55" s="1">
        <v>0.9588497172422091</v>
      </c>
      <c r="J55" s="1">
        <v>0.25249046857705076</v>
      </c>
      <c r="K55" s="1">
        <v>0.28223337822946004</v>
      </c>
      <c r="L55" s="1">
        <v>0.9710718259364568</v>
      </c>
      <c r="M55" s="1">
        <v>0.3052234109502832</v>
      </c>
      <c r="N55" s="1">
        <v>0.30706627050768637</v>
      </c>
    </row>
    <row r="56" ht="12.75" customHeight="1">
      <c r="C56" s="1">
        <v>0.9500067195269455</v>
      </c>
      <c r="D56" s="1">
        <v>1.0271963738168242</v>
      </c>
      <c r="E56" s="1">
        <v>1.014093696985515</v>
      </c>
      <c r="F56" s="1">
        <v>0.15722945956403972</v>
      </c>
      <c r="G56" s="1">
        <v>0.08376631605626662</v>
      </c>
      <c r="H56" s="1">
        <v>0.06633228840125392</v>
      </c>
      <c r="I56" s="1">
        <v>0.1712188665623872</v>
      </c>
      <c r="J56" s="1">
        <v>0.11671381133931864</v>
      </c>
      <c r="K56" s="1">
        <v>0.12207664993265582</v>
      </c>
      <c r="L56" s="1">
        <v>0.18630238595623685</v>
      </c>
      <c r="M56" s="1">
        <v>0.09905601006922592</v>
      </c>
      <c r="N56" s="1">
        <v>0.07918873530551608</v>
      </c>
    </row>
    <row r="57" ht="12.75" customHeight="1">
      <c r="C57" s="1">
        <v>0.9919365676656365</v>
      </c>
      <c r="D57" s="1">
        <v>0.9112118384215436</v>
      </c>
      <c r="E57" s="1">
        <v>0.9146548349210492</v>
      </c>
      <c r="F57" s="1">
        <v>0.07055333419321554</v>
      </c>
      <c r="G57" s="1">
        <v>0.05259156000506905</v>
      </c>
      <c r="H57" s="1">
        <v>0.052037617554858924</v>
      </c>
      <c r="I57" s="1">
        <v>0.12573697509324988</v>
      </c>
      <c r="J57" s="1">
        <v>0.09383839626122245</v>
      </c>
      <c r="K57" s="1">
        <v>0.09415942206440553</v>
      </c>
      <c r="L57" s="1">
        <v>0.09803436765978488</v>
      </c>
      <c r="M57" s="1">
        <v>0.06733794839521712</v>
      </c>
      <c r="N57" s="1">
        <v>0.04585970804805582</v>
      </c>
    </row>
    <row r="58" ht="12.75" customHeight="1">
      <c r="C58" s="1">
        <v>0.5186130896384895</v>
      </c>
      <c r="D58" s="1">
        <v>0.1345153979469404</v>
      </c>
      <c r="E58" s="1">
        <v>0.14106746704945844</v>
      </c>
      <c r="F58" s="1">
        <v>0.0550754546627112</v>
      </c>
      <c r="G58" s="1">
        <v>0.04118616144975288</v>
      </c>
      <c r="H58" s="1">
        <v>0.04150470219435737</v>
      </c>
      <c r="I58" s="1">
        <v>0.10191312718084466</v>
      </c>
      <c r="J58" s="1">
        <v>0.08276964702988561</v>
      </c>
      <c r="K58" s="1">
        <v>0.0802008081302804</v>
      </c>
      <c r="L58" s="1">
        <v>0.06020521696130547</v>
      </c>
      <c r="M58" s="1">
        <v>0.049213341724354924</v>
      </c>
      <c r="N58" s="1">
        <v>0.027257460276450065</v>
      </c>
    </row>
    <row r="59" ht="12.75" customHeight="1">
      <c r="C59" s="1">
        <v>0.057384760112888046</v>
      </c>
      <c r="D59" s="1">
        <v>0.04332755632582322</v>
      </c>
      <c r="E59" s="1">
        <v>0.03927965548740702</v>
      </c>
      <c r="F59" s="1">
        <v>0.012511285953824322</v>
      </c>
      <c r="G59" s="1">
        <v>0.003928526169053351</v>
      </c>
      <c r="H59" s="1">
        <v>0.0023824451410658296</v>
      </c>
      <c r="I59" s="1">
        <v>0.06292864877872699</v>
      </c>
      <c r="J59" s="1">
        <v>0.0517771491821424</v>
      </c>
      <c r="K59" s="1">
        <v>0.04861026080568139</v>
      </c>
      <c r="L59" s="1">
        <v>0.026826554580294214</v>
      </c>
      <c r="M59" s="1">
        <v>0.02806796727501572</v>
      </c>
      <c r="N59" s="1">
        <v>0.024932179304999344</v>
      </c>
    </row>
    <row r="60" ht="12.75" customHeight="1"/>
    <row r="61" ht="12.75" customHeight="1"/>
    <row r="62" ht="12.75" customHeight="1">
      <c r="C62" s="1">
        <v>1.0</v>
      </c>
      <c r="D62" s="1">
        <v>1.0</v>
      </c>
      <c r="E62" s="1">
        <v>1.0</v>
      </c>
      <c r="F62" s="1">
        <v>1.0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</row>
    <row r="63" ht="12.75" customHeight="1">
      <c r="C63" s="1">
        <v>1.0205074273695278</v>
      </c>
      <c r="D63" s="1">
        <v>1.008277938040888</v>
      </c>
      <c r="E63" s="1">
        <v>1.0120861135591086</v>
      </c>
      <c r="F63" s="1">
        <v>0.9702122378056348</v>
      </c>
      <c r="G63" s="1">
        <v>0.9932322346158667</v>
      </c>
      <c r="H63" s="1">
        <v>0.9500704135193958</v>
      </c>
      <c r="I63" s="1">
        <v>0.9558328134747349</v>
      </c>
      <c r="J63" s="1">
        <v>0.9307141960587424</v>
      </c>
      <c r="K63" s="1">
        <v>0.9623607732684676</v>
      </c>
      <c r="L63" s="1">
        <v>0.9836299857087177</v>
      </c>
      <c r="M63" s="1">
        <v>0.9172308085323796</v>
      </c>
      <c r="N63" s="1">
        <v>1.0049389491013856</v>
      </c>
    </row>
    <row r="64" ht="12.75" customHeight="1">
      <c r="C64" s="1">
        <v>0.9613513868805047</v>
      </c>
      <c r="D64" s="1">
        <v>0.9533425310422676</v>
      </c>
      <c r="E64" s="1">
        <v>0.9335263754249026</v>
      </c>
      <c r="F64" s="1">
        <v>0.8361673079309917</v>
      </c>
      <c r="G64" s="1">
        <v>0.2472740944980574</v>
      </c>
      <c r="H64" s="1">
        <v>0.23108436819869418</v>
      </c>
      <c r="I64" s="1">
        <v>0.8121023081721772</v>
      </c>
      <c r="J64" s="1">
        <v>0.23409062382327098</v>
      </c>
      <c r="K64" s="1">
        <v>0.3063628216617591</v>
      </c>
      <c r="L64" s="1">
        <v>0.8659217877094972</v>
      </c>
      <c r="M64" s="1">
        <v>0.3033593051475284</v>
      </c>
      <c r="N64" s="1">
        <v>0.33406502949650163</v>
      </c>
    </row>
    <row r="65" ht="12.75" customHeight="1">
      <c r="C65" s="1">
        <v>0.985013803076114</v>
      </c>
      <c r="D65" s="1">
        <v>0.9744136460554371</v>
      </c>
      <c r="E65" s="1">
        <v>0.9441017247891226</v>
      </c>
      <c r="F65" s="1">
        <v>0.1651979645029167</v>
      </c>
      <c r="G65" s="1">
        <v>0.08334377741571625</v>
      </c>
      <c r="H65" s="1">
        <v>0.07745487133529638</v>
      </c>
      <c r="I65" s="1">
        <v>0.1720524017467249</v>
      </c>
      <c r="J65" s="1">
        <v>0.12338395883017449</v>
      </c>
      <c r="K65" s="1">
        <v>0.12815260530021766</v>
      </c>
      <c r="L65" s="1">
        <v>0.1900740548265558</v>
      </c>
      <c r="M65" s="1">
        <v>0.10563290330821304</v>
      </c>
      <c r="N65" s="1">
        <v>0.10275757991494032</v>
      </c>
    </row>
    <row r="66" ht="12.75" customHeight="1">
      <c r="C66" s="1">
        <v>0.9558301564348626</v>
      </c>
      <c r="D66" s="1">
        <v>0.8826037877837701</v>
      </c>
      <c r="E66" s="1">
        <v>0.8549666372906962</v>
      </c>
      <c r="F66" s="1">
        <v>0.08849447685242645</v>
      </c>
      <c r="G66" s="1">
        <v>0.06078455946860508</v>
      </c>
      <c r="H66" s="1">
        <v>0.050569709384201765</v>
      </c>
      <c r="I66" s="1">
        <v>0.13013100436681224</v>
      </c>
      <c r="J66" s="1">
        <v>0.08723484373038784</v>
      </c>
      <c r="K66" s="1">
        <v>0.10510818077070797</v>
      </c>
      <c r="L66" s="1">
        <v>0.10744445888008314</v>
      </c>
      <c r="M66" s="1">
        <v>0.07344488440413846</v>
      </c>
      <c r="N66" s="1">
        <v>0.06406914528741939</v>
      </c>
    </row>
    <row r="67" ht="12.75" customHeight="1">
      <c r="C67" s="1">
        <v>0.5630340475877481</v>
      </c>
      <c r="D67" s="1">
        <v>0.14586730214473848</v>
      </c>
      <c r="E67" s="1">
        <v>0.15548281505728315</v>
      </c>
      <c r="F67" s="1">
        <v>0.05572793843862478</v>
      </c>
      <c r="G67" s="1">
        <v>0.03371349793207167</v>
      </c>
      <c r="H67" s="1">
        <v>0.029061579823326078</v>
      </c>
      <c r="I67" s="1">
        <v>0.11441048034934498</v>
      </c>
      <c r="J67" s="1">
        <v>0.07819756495544118</v>
      </c>
      <c r="K67" s="1">
        <v>0.08513634617846626</v>
      </c>
      <c r="L67" s="1">
        <v>0.06768870988696894</v>
      </c>
      <c r="M67" s="1">
        <v>0.05351896793971131</v>
      </c>
      <c r="N67" s="1">
        <v>0.049252297983262444</v>
      </c>
    </row>
    <row r="68" ht="12.75" customHeight="1">
      <c r="C68" s="1">
        <v>0.06691205468647297</v>
      </c>
      <c r="D68" s="1">
        <v>0.043521886366486885</v>
      </c>
      <c r="E68" s="1">
        <v>0.04821855722019388</v>
      </c>
      <c r="F68" s="1">
        <v>0.029663646518555273</v>
      </c>
      <c r="G68" s="1">
        <v>0.015666123574382743</v>
      </c>
      <c r="H68" s="1">
        <v>0.00908974523108436</v>
      </c>
      <c r="I68" s="1">
        <v>0.09344978165938865</v>
      </c>
      <c r="J68" s="1">
        <v>0.054851261453495656</v>
      </c>
      <c r="K68" s="1">
        <v>0.06209192164895659</v>
      </c>
      <c r="L68" s="1">
        <v>0.034948681304404296</v>
      </c>
      <c r="M68" s="1">
        <v>0.026695618852982498</v>
      </c>
      <c r="N68" s="1">
        <v>0.03690492522979831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45:AB51">
    <cfRule type="colorScale" priority="1">
      <colorScale>
        <cfvo type="formula" val="0"/>
        <cfvo type="formula" val="1"/>
        <color theme="1"/>
        <color rgb="FF00B0F0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0</v>
      </c>
      <c r="B2" s="19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2</v>
      </c>
      <c r="B4" s="19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4</v>
      </c>
      <c r="B5" s="19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6</v>
      </c>
      <c r="B6" s="19" t="s">
        <v>48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8</v>
      </c>
      <c r="B7" s="2">
        <v>46121.0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9</v>
      </c>
      <c r="B8" s="3">
        <v>0.6651273148148148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10</v>
      </c>
      <c r="B9" s="19" t="s">
        <v>11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12</v>
      </c>
      <c r="B10" s="19">
        <v>2.5030902E7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13</v>
      </c>
      <c r="B11" s="19" t="s">
        <v>14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4" t="s">
        <v>15</v>
      </c>
      <c r="B13" s="5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 t="s">
        <v>16</v>
      </c>
      <c r="B14" s="19" t="s">
        <v>17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 t="s">
        <v>18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 t="s">
        <v>19</v>
      </c>
      <c r="B16" s="19" t="s">
        <v>20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 t="s">
        <v>21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 t="s">
        <v>22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 t="s">
        <v>23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4" t="s">
        <v>24</v>
      </c>
      <c r="B21" s="5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 t="s">
        <v>25</v>
      </c>
      <c r="B22" s="19">
        <v>26.3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7" t="s">
        <v>26</v>
      </c>
      <c r="C25" s="8">
        <v>0.102</v>
      </c>
      <c r="D25" s="8">
        <v>0.105</v>
      </c>
      <c r="E25" s="8">
        <v>0.11</v>
      </c>
      <c r="F25" s="8">
        <v>0.111</v>
      </c>
      <c r="G25" s="8">
        <v>0.114</v>
      </c>
      <c r="H25" s="8">
        <v>0.112</v>
      </c>
      <c r="I25" s="8">
        <v>0.116</v>
      </c>
      <c r="J25" s="8">
        <v>0.116</v>
      </c>
      <c r="K25" s="8">
        <v>0.11</v>
      </c>
      <c r="L25" s="8">
        <v>0.114</v>
      </c>
      <c r="M25" s="8">
        <v>0.107</v>
      </c>
      <c r="N25" s="8">
        <v>0.101</v>
      </c>
      <c r="O25" s="9">
        <v>600.0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7" t="s">
        <v>27</v>
      </c>
      <c r="C26" s="10">
        <v>1.35</v>
      </c>
      <c r="D26" s="10">
        <v>1.36</v>
      </c>
      <c r="E26" s="10">
        <v>1.387</v>
      </c>
      <c r="F26" s="11">
        <v>1.402</v>
      </c>
      <c r="G26" s="11">
        <v>1.425</v>
      </c>
      <c r="H26" s="11">
        <v>1.439</v>
      </c>
      <c r="I26" s="11">
        <v>1.495</v>
      </c>
      <c r="J26" s="11">
        <v>1.465</v>
      </c>
      <c r="K26" s="11">
        <v>1.471</v>
      </c>
      <c r="L26" s="11">
        <v>1.458</v>
      </c>
      <c r="M26" s="11">
        <v>1.434</v>
      </c>
      <c r="N26" s="11">
        <v>1.4</v>
      </c>
      <c r="O26" s="9">
        <v>600.0</v>
      </c>
      <c r="P26" s="1">
        <f>AVERAGE(C25:N25)</f>
        <v>0.1098333333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7" t="s">
        <v>28</v>
      </c>
      <c r="C27" s="10">
        <v>1.371</v>
      </c>
      <c r="D27" s="10">
        <v>1.393</v>
      </c>
      <c r="E27" s="10">
        <v>1.371</v>
      </c>
      <c r="F27" s="11">
        <v>1.424</v>
      </c>
      <c r="G27" s="10">
        <v>1.378</v>
      </c>
      <c r="H27" s="10">
        <v>1.386</v>
      </c>
      <c r="I27" s="11">
        <v>1.426</v>
      </c>
      <c r="J27" s="11">
        <v>1.427</v>
      </c>
      <c r="K27" s="11">
        <v>1.427</v>
      </c>
      <c r="L27" s="11">
        <v>1.403</v>
      </c>
      <c r="M27" s="10">
        <v>1.352</v>
      </c>
      <c r="N27" s="10">
        <v>1.345</v>
      </c>
      <c r="O27" s="9">
        <v>600.0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7" t="s">
        <v>29</v>
      </c>
      <c r="C28" s="10">
        <v>1.355</v>
      </c>
      <c r="D28" s="11">
        <v>1.428</v>
      </c>
      <c r="E28" s="11">
        <v>1.435</v>
      </c>
      <c r="F28" s="12">
        <v>1.255</v>
      </c>
      <c r="G28" s="14">
        <v>0.434</v>
      </c>
      <c r="H28" s="14">
        <v>0.405</v>
      </c>
      <c r="I28" s="11">
        <v>1.438</v>
      </c>
      <c r="J28" s="14">
        <v>0.452</v>
      </c>
      <c r="K28" s="14">
        <v>0.494</v>
      </c>
      <c r="L28" s="11">
        <v>1.419</v>
      </c>
      <c r="M28" s="20">
        <v>0.514</v>
      </c>
      <c r="N28" s="20">
        <v>0.506</v>
      </c>
      <c r="O28" s="9">
        <v>600.0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7" t="s">
        <v>30</v>
      </c>
      <c r="C29" s="12">
        <v>1.288</v>
      </c>
      <c r="D29" s="10">
        <v>1.394</v>
      </c>
      <c r="E29" s="11">
        <v>1.405</v>
      </c>
      <c r="F29" s="13">
        <v>0.313</v>
      </c>
      <c r="G29" s="15">
        <v>0.22</v>
      </c>
      <c r="H29" s="8">
        <v>0.198</v>
      </c>
      <c r="I29" s="13">
        <v>0.347</v>
      </c>
      <c r="J29" s="15">
        <v>0.268</v>
      </c>
      <c r="K29" s="15">
        <v>0.276</v>
      </c>
      <c r="L29" s="13">
        <v>0.361</v>
      </c>
      <c r="M29" s="15">
        <v>0.241</v>
      </c>
      <c r="N29" s="15">
        <v>0.212</v>
      </c>
      <c r="O29" s="9">
        <v>600.0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7" t="s">
        <v>31</v>
      </c>
      <c r="C30" s="10">
        <v>1.34</v>
      </c>
      <c r="D30" s="12">
        <v>1.249</v>
      </c>
      <c r="E30" s="12">
        <v>1.278</v>
      </c>
      <c r="F30" s="15">
        <v>0.201</v>
      </c>
      <c r="G30" s="8">
        <v>0.179</v>
      </c>
      <c r="H30" s="8">
        <v>0.179</v>
      </c>
      <c r="I30" s="15">
        <v>0.284</v>
      </c>
      <c r="J30" s="15">
        <v>0.237</v>
      </c>
      <c r="K30" s="15">
        <v>0.238</v>
      </c>
      <c r="L30" s="15">
        <v>0.242</v>
      </c>
      <c r="M30" s="8">
        <v>0.199</v>
      </c>
      <c r="N30" s="8">
        <v>0.169</v>
      </c>
      <c r="O30" s="9">
        <v>600.0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7" t="s">
        <v>32</v>
      </c>
      <c r="C31" s="21">
        <v>0.753</v>
      </c>
      <c r="D31" s="15">
        <v>0.278</v>
      </c>
      <c r="E31" s="15">
        <v>0.29</v>
      </c>
      <c r="F31" s="8">
        <v>0.181</v>
      </c>
      <c r="G31" s="8">
        <v>0.164</v>
      </c>
      <c r="H31" s="8">
        <v>0.165</v>
      </c>
      <c r="I31" s="15">
        <v>0.251</v>
      </c>
      <c r="J31" s="15">
        <v>0.222</v>
      </c>
      <c r="K31" s="15">
        <v>0.219</v>
      </c>
      <c r="L31" s="8">
        <v>0.191</v>
      </c>
      <c r="M31" s="8">
        <v>0.175</v>
      </c>
      <c r="N31" s="8">
        <v>0.145</v>
      </c>
      <c r="O31" s="9">
        <v>600.0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7" t="s">
        <v>33</v>
      </c>
      <c r="C32" s="8">
        <v>0.181</v>
      </c>
      <c r="D32" s="8">
        <v>0.164</v>
      </c>
      <c r="E32" s="8">
        <v>0.16</v>
      </c>
      <c r="F32" s="8">
        <v>0.126</v>
      </c>
      <c r="G32" s="8">
        <v>0.115</v>
      </c>
      <c r="H32" s="8">
        <v>0.113</v>
      </c>
      <c r="I32" s="8">
        <v>0.197</v>
      </c>
      <c r="J32" s="8">
        <v>0.18</v>
      </c>
      <c r="K32" s="8">
        <v>0.176</v>
      </c>
      <c r="L32" s="8">
        <v>0.146</v>
      </c>
      <c r="M32" s="8">
        <v>0.147</v>
      </c>
      <c r="N32" s="8">
        <v>0.142</v>
      </c>
      <c r="O32" s="9">
        <v>600.0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">
        <f t="shared" ref="C35:N35" si="1">C26-$P$26</f>
        <v>1.240166667</v>
      </c>
      <c r="D35" s="1">
        <f t="shared" si="1"/>
        <v>1.250166667</v>
      </c>
      <c r="E35" s="1">
        <f t="shared" si="1"/>
        <v>1.277166667</v>
      </c>
      <c r="F35" s="1">
        <f t="shared" si="1"/>
        <v>1.292166667</v>
      </c>
      <c r="G35" s="1">
        <f t="shared" si="1"/>
        <v>1.315166667</v>
      </c>
      <c r="H35" s="1">
        <f t="shared" si="1"/>
        <v>1.329166667</v>
      </c>
      <c r="I35" s="1">
        <f t="shared" si="1"/>
        <v>1.385166667</v>
      </c>
      <c r="J35" s="1">
        <f t="shared" si="1"/>
        <v>1.355166667</v>
      </c>
      <c r="K35" s="1">
        <f t="shared" si="1"/>
        <v>1.361166667</v>
      </c>
      <c r="L35" s="1">
        <f t="shared" si="1"/>
        <v>1.348166667</v>
      </c>
      <c r="M35" s="1">
        <f t="shared" si="1"/>
        <v>1.324166667</v>
      </c>
      <c r="N35" s="1">
        <f t="shared" si="1"/>
        <v>1.290166667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">
        <f t="shared" ref="C36:N36" si="2">C27-$P$26</f>
        <v>1.261166667</v>
      </c>
      <c r="D36" s="1">
        <f t="shared" si="2"/>
        <v>1.283166667</v>
      </c>
      <c r="E36" s="1">
        <f t="shared" si="2"/>
        <v>1.261166667</v>
      </c>
      <c r="F36" s="1">
        <f t="shared" si="2"/>
        <v>1.314166667</v>
      </c>
      <c r="G36" s="1">
        <f t="shared" si="2"/>
        <v>1.268166667</v>
      </c>
      <c r="H36" s="1">
        <f t="shared" si="2"/>
        <v>1.276166667</v>
      </c>
      <c r="I36" s="1">
        <f t="shared" si="2"/>
        <v>1.316166667</v>
      </c>
      <c r="J36" s="1">
        <f t="shared" si="2"/>
        <v>1.317166667</v>
      </c>
      <c r="K36" s="1">
        <f t="shared" si="2"/>
        <v>1.317166667</v>
      </c>
      <c r="L36" s="1">
        <f t="shared" si="2"/>
        <v>1.293166667</v>
      </c>
      <c r="M36" s="1">
        <f t="shared" si="2"/>
        <v>1.242166667</v>
      </c>
      <c r="N36" s="1">
        <f t="shared" si="2"/>
        <v>1.235166667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">
        <f t="shared" ref="C37:N37" si="3">C28-$P$26</f>
        <v>1.245166667</v>
      </c>
      <c r="D37" s="1">
        <f t="shared" si="3"/>
        <v>1.318166667</v>
      </c>
      <c r="E37" s="1">
        <f t="shared" si="3"/>
        <v>1.325166667</v>
      </c>
      <c r="F37" s="1">
        <f t="shared" si="3"/>
        <v>1.145166667</v>
      </c>
      <c r="G37" s="1">
        <f t="shared" si="3"/>
        <v>0.3241666667</v>
      </c>
      <c r="H37" s="1">
        <f t="shared" si="3"/>
        <v>0.2951666667</v>
      </c>
      <c r="I37" s="1">
        <f t="shared" si="3"/>
        <v>1.328166667</v>
      </c>
      <c r="J37" s="1">
        <f t="shared" si="3"/>
        <v>0.3421666667</v>
      </c>
      <c r="K37" s="1">
        <f t="shared" si="3"/>
        <v>0.3841666667</v>
      </c>
      <c r="L37" s="1">
        <f t="shared" si="3"/>
        <v>1.309166667</v>
      </c>
      <c r="M37" s="1">
        <f t="shared" si="3"/>
        <v>0.4041666667</v>
      </c>
      <c r="N37" s="1">
        <f t="shared" si="3"/>
        <v>0.3961666667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">
        <f t="shared" ref="C38:N38" si="4">C29-$P$26</f>
        <v>1.178166667</v>
      </c>
      <c r="D38" s="1">
        <f t="shared" si="4"/>
        <v>1.284166667</v>
      </c>
      <c r="E38" s="1">
        <f t="shared" si="4"/>
        <v>1.295166667</v>
      </c>
      <c r="F38" s="1">
        <f t="shared" si="4"/>
        <v>0.2031666667</v>
      </c>
      <c r="G38" s="1">
        <f t="shared" si="4"/>
        <v>0.1101666667</v>
      </c>
      <c r="H38" s="1">
        <f t="shared" si="4"/>
        <v>0.08816666667</v>
      </c>
      <c r="I38" s="1">
        <f t="shared" si="4"/>
        <v>0.2371666667</v>
      </c>
      <c r="J38" s="1">
        <f t="shared" si="4"/>
        <v>0.1581666667</v>
      </c>
      <c r="K38" s="1">
        <f t="shared" si="4"/>
        <v>0.1661666667</v>
      </c>
      <c r="L38" s="1">
        <f t="shared" si="4"/>
        <v>0.2511666667</v>
      </c>
      <c r="M38" s="1">
        <f t="shared" si="4"/>
        <v>0.1311666667</v>
      </c>
      <c r="N38" s="1">
        <f t="shared" si="4"/>
        <v>0.1021666667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">
        <f t="shared" ref="C39:N39" si="5">C30-$P$26</f>
        <v>1.230166667</v>
      </c>
      <c r="D39" s="1">
        <f t="shared" si="5"/>
        <v>1.139166667</v>
      </c>
      <c r="E39" s="1">
        <f t="shared" si="5"/>
        <v>1.168166667</v>
      </c>
      <c r="F39" s="1">
        <f t="shared" si="5"/>
        <v>0.09116666667</v>
      </c>
      <c r="G39" s="1">
        <f t="shared" si="5"/>
        <v>0.06916666667</v>
      </c>
      <c r="H39" s="1">
        <f t="shared" si="5"/>
        <v>0.06916666667</v>
      </c>
      <c r="I39" s="1">
        <f t="shared" si="5"/>
        <v>0.1741666667</v>
      </c>
      <c r="J39" s="1">
        <f t="shared" si="5"/>
        <v>0.1271666667</v>
      </c>
      <c r="K39" s="1">
        <f t="shared" si="5"/>
        <v>0.1281666667</v>
      </c>
      <c r="L39" s="1">
        <f t="shared" si="5"/>
        <v>0.1321666667</v>
      </c>
      <c r="M39" s="1">
        <f t="shared" si="5"/>
        <v>0.08916666667</v>
      </c>
      <c r="N39" s="1">
        <f t="shared" si="5"/>
        <v>0.05916666667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">
        <f t="shared" ref="C40:N40" si="6">C31-$P$26</f>
        <v>0.6431666667</v>
      </c>
      <c r="D40" s="1">
        <f t="shared" si="6"/>
        <v>0.1681666667</v>
      </c>
      <c r="E40" s="1">
        <f t="shared" si="6"/>
        <v>0.1801666667</v>
      </c>
      <c r="F40" s="1">
        <f t="shared" si="6"/>
        <v>0.07116666667</v>
      </c>
      <c r="G40" s="1">
        <f t="shared" si="6"/>
        <v>0.05416666667</v>
      </c>
      <c r="H40" s="1">
        <f t="shared" si="6"/>
        <v>0.05516666667</v>
      </c>
      <c r="I40" s="1">
        <f t="shared" si="6"/>
        <v>0.1411666667</v>
      </c>
      <c r="J40" s="1">
        <f t="shared" si="6"/>
        <v>0.1121666667</v>
      </c>
      <c r="K40" s="1">
        <f t="shared" si="6"/>
        <v>0.1091666667</v>
      </c>
      <c r="L40" s="1">
        <f t="shared" si="6"/>
        <v>0.08116666667</v>
      </c>
      <c r="M40" s="1">
        <f t="shared" si="6"/>
        <v>0.06516666667</v>
      </c>
      <c r="N40" s="1">
        <f t="shared" si="6"/>
        <v>0.03516666667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">
        <f t="shared" ref="C41:N41" si="7">C32-$P$26</f>
        <v>0.07116666667</v>
      </c>
      <c r="D41" s="1">
        <f t="shared" si="7"/>
        <v>0.05416666667</v>
      </c>
      <c r="E41" s="1">
        <f t="shared" si="7"/>
        <v>0.05016666667</v>
      </c>
      <c r="F41" s="1">
        <f t="shared" si="7"/>
        <v>0.01616666667</v>
      </c>
      <c r="G41" s="1">
        <f t="shared" si="7"/>
        <v>0.005166666667</v>
      </c>
      <c r="H41" s="1">
        <f t="shared" si="7"/>
        <v>0.003166666667</v>
      </c>
      <c r="I41" s="1">
        <f t="shared" si="7"/>
        <v>0.08716666667</v>
      </c>
      <c r="J41" s="1">
        <f t="shared" si="7"/>
        <v>0.07016666667</v>
      </c>
      <c r="K41" s="1">
        <f t="shared" si="7"/>
        <v>0.06616666667</v>
      </c>
      <c r="L41" s="1">
        <f t="shared" si="7"/>
        <v>0.03616666667</v>
      </c>
      <c r="M41" s="1">
        <f t="shared" si="7"/>
        <v>0.03716666667</v>
      </c>
      <c r="N41" s="1">
        <f t="shared" si="7"/>
        <v>0.03216666667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">
        <f t="shared" si="8"/>
        <v>1.016933208</v>
      </c>
      <c r="D45" s="1">
        <f t="shared" si="9"/>
        <v>1.02639648</v>
      </c>
      <c r="E45" s="1">
        <f t="shared" si="10"/>
        <v>0.9874722693</v>
      </c>
      <c r="F45" s="1">
        <f t="shared" si="11"/>
        <v>1.017025667</v>
      </c>
      <c r="G45" s="1">
        <f t="shared" si="12"/>
        <v>0.9642630845</v>
      </c>
      <c r="H45" s="1">
        <f t="shared" si="13"/>
        <v>0.9601253918</v>
      </c>
      <c r="I45" s="1">
        <f t="shared" si="14"/>
        <v>0.9501864998</v>
      </c>
      <c r="J45" s="1">
        <f t="shared" si="15"/>
        <v>0.9719591686</v>
      </c>
      <c r="K45" s="1">
        <f t="shared" si="16"/>
        <v>0.9676747888</v>
      </c>
      <c r="L45" s="1">
        <f t="shared" si="17"/>
        <v>0.9592038571</v>
      </c>
      <c r="M45" s="1">
        <f t="shared" si="18"/>
        <v>0.9380742605</v>
      </c>
      <c r="N45" s="1">
        <f t="shared" si="19"/>
        <v>0.9573698489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">
        <f t="shared" si="8"/>
        <v>1.004031716</v>
      </c>
      <c r="D46" s="1">
        <f t="shared" si="9"/>
        <v>1.054392748</v>
      </c>
      <c r="E46" s="1">
        <f t="shared" si="10"/>
        <v>1.037583192</v>
      </c>
      <c r="F46" s="1">
        <f t="shared" si="11"/>
        <v>0.8862375855</v>
      </c>
      <c r="G46" s="1">
        <f t="shared" si="12"/>
        <v>0.2464833354</v>
      </c>
      <c r="H46" s="1">
        <f t="shared" si="13"/>
        <v>0.2220689655</v>
      </c>
      <c r="I46" s="1">
        <f t="shared" si="14"/>
        <v>0.9588497172</v>
      </c>
      <c r="J46" s="1">
        <f t="shared" si="15"/>
        <v>0.2524904686</v>
      </c>
      <c r="K46" s="1">
        <f t="shared" si="16"/>
        <v>0.2822333782</v>
      </c>
      <c r="L46" s="1">
        <f t="shared" si="17"/>
        <v>0.9710718259</v>
      </c>
      <c r="M46" s="1">
        <f t="shared" si="18"/>
        <v>0.305223411</v>
      </c>
      <c r="N46" s="1">
        <f t="shared" si="19"/>
        <v>0.3070662705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">
        <f t="shared" si="8"/>
        <v>0.9500067195</v>
      </c>
      <c r="D47" s="1">
        <f t="shared" si="9"/>
        <v>1.027196374</v>
      </c>
      <c r="E47" s="1">
        <f t="shared" si="10"/>
        <v>1.014093697</v>
      </c>
      <c r="F47" s="1">
        <f t="shared" si="11"/>
        <v>0.1572294596</v>
      </c>
      <c r="G47" s="1">
        <f t="shared" si="12"/>
        <v>0.08376631606</v>
      </c>
      <c r="H47" s="1">
        <f t="shared" si="13"/>
        <v>0.0663322884</v>
      </c>
      <c r="I47" s="1">
        <f t="shared" si="14"/>
        <v>0.1712188666</v>
      </c>
      <c r="J47" s="1">
        <f t="shared" si="15"/>
        <v>0.1167138113</v>
      </c>
      <c r="K47" s="1">
        <f t="shared" si="16"/>
        <v>0.1220766499</v>
      </c>
      <c r="L47" s="1">
        <f t="shared" si="17"/>
        <v>0.186302386</v>
      </c>
      <c r="M47" s="1">
        <f t="shared" si="18"/>
        <v>0.09905601007</v>
      </c>
      <c r="N47" s="1">
        <f t="shared" si="19"/>
        <v>0.07918873531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">
        <f t="shared" si="8"/>
        <v>0.9919365677</v>
      </c>
      <c r="D48" s="1">
        <f t="shared" si="9"/>
        <v>0.9112118384</v>
      </c>
      <c r="E48" s="1">
        <f t="shared" si="10"/>
        <v>0.9146548349</v>
      </c>
      <c r="F48" s="1">
        <f t="shared" si="11"/>
        <v>0.07055333419</v>
      </c>
      <c r="G48" s="1">
        <f t="shared" si="12"/>
        <v>0.05259156001</v>
      </c>
      <c r="H48" s="1">
        <f t="shared" si="13"/>
        <v>0.05203761755</v>
      </c>
      <c r="I48" s="1">
        <f t="shared" si="14"/>
        <v>0.1257369751</v>
      </c>
      <c r="J48" s="1">
        <f t="shared" si="15"/>
        <v>0.09383839626</v>
      </c>
      <c r="K48" s="1">
        <f t="shared" si="16"/>
        <v>0.09415942206</v>
      </c>
      <c r="L48" s="1">
        <f t="shared" si="17"/>
        <v>0.09803436766</v>
      </c>
      <c r="M48" s="1">
        <f t="shared" si="18"/>
        <v>0.0673379484</v>
      </c>
      <c r="N48" s="1">
        <f t="shared" si="19"/>
        <v>0.04585970805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">
        <f t="shared" si="8"/>
        <v>0.5186130896</v>
      </c>
      <c r="D49" s="1">
        <f t="shared" si="9"/>
        <v>0.1345153979</v>
      </c>
      <c r="E49" s="1">
        <f t="shared" si="10"/>
        <v>0.141067467</v>
      </c>
      <c r="F49" s="1">
        <f t="shared" si="11"/>
        <v>0.05507545466</v>
      </c>
      <c r="G49" s="1">
        <f t="shared" si="12"/>
        <v>0.04118616145</v>
      </c>
      <c r="H49" s="1">
        <f t="shared" si="13"/>
        <v>0.04150470219</v>
      </c>
      <c r="I49" s="1">
        <f t="shared" si="14"/>
        <v>0.1019131272</v>
      </c>
      <c r="J49" s="1">
        <f t="shared" si="15"/>
        <v>0.08276964703</v>
      </c>
      <c r="K49" s="1">
        <f t="shared" si="16"/>
        <v>0.08020080813</v>
      </c>
      <c r="L49" s="1">
        <f t="shared" si="17"/>
        <v>0.06020521696</v>
      </c>
      <c r="M49" s="1">
        <f t="shared" si="18"/>
        <v>0.04921334172</v>
      </c>
      <c r="N49" s="1">
        <f t="shared" si="19"/>
        <v>0.02725746028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">
        <f t="shared" si="8"/>
        <v>0.05738476011</v>
      </c>
      <c r="D50" s="1">
        <f t="shared" si="9"/>
        <v>0.04332755633</v>
      </c>
      <c r="E50" s="1">
        <f t="shared" si="10"/>
        <v>0.03927965549</v>
      </c>
      <c r="F50" s="1">
        <f t="shared" si="11"/>
        <v>0.01251128595</v>
      </c>
      <c r="G50" s="1">
        <f t="shared" si="12"/>
        <v>0.003928526169</v>
      </c>
      <c r="H50" s="1">
        <f t="shared" si="13"/>
        <v>0.002382445141</v>
      </c>
      <c r="I50" s="1">
        <f t="shared" si="14"/>
        <v>0.06292864878</v>
      </c>
      <c r="J50" s="1">
        <f t="shared" si="15"/>
        <v>0.05177714918</v>
      </c>
      <c r="K50" s="1">
        <f t="shared" si="16"/>
        <v>0.04861026081</v>
      </c>
      <c r="L50" s="1">
        <f t="shared" si="17"/>
        <v>0.02682655458</v>
      </c>
      <c r="M50" s="1">
        <f t="shared" si="18"/>
        <v>0.02806796728</v>
      </c>
      <c r="N50" s="1">
        <f t="shared" si="19"/>
        <v>0.0249321793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0</v>
      </c>
      <c r="B2" s="19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2</v>
      </c>
      <c r="B4" s="19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4</v>
      </c>
      <c r="B5" s="19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6</v>
      </c>
      <c r="B6" s="19" t="s">
        <v>49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8</v>
      </c>
      <c r="B7" s="2">
        <v>46121.0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9</v>
      </c>
      <c r="B8" s="3">
        <v>0.6660300925925926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10</v>
      </c>
      <c r="B9" s="19" t="s">
        <v>11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12</v>
      </c>
      <c r="B10" s="19">
        <v>2.5030902E7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13</v>
      </c>
      <c r="B11" s="19" t="s">
        <v>14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4" t="s">
        <v>15</v>
      </c>
      <c r="B13" s="5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 t="s">
        <v>16</v>
      </c>
      <c r="B14" s="19" t="s">
        <v>17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 t="s">
        <v>18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 t="s">
        <v>19</v>
      </c>
      <c r="B16" s="19" t="s">
        <v>20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 t="s">
        <v>21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 t="s">
        <v>22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 t="s">
        <v>23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4" t="s">
        <v>24</v>
      </c>
      <c r="B21" s="5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 t="s">
        <v>25</v>
      </c>
      <c r="B22" s="19">
        <v>26.3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7" t="s">
        <v>26</v>
      </c>
      <c r="C25" s="8">
        <v>0.102</v>
      </c>
      <c r="D25" s="8">
        <v>0.101</v>
      </c>
      <c r="E25" s="8">
        <v>0.102</v>
      </c>
      <c r="F25" s="8">
        <v>0.101</v>
      </c>
      <c r="G25" s="8">
        <v>0.101</v>
      </c>
      <c r="H25" s="8">
        <v>0.103</v>
      </c>
      <c r="I25" s="8">
        <v>0.102</v>
      </c>
      <c r="J25" s="8">
        <v>0.106</v>
      </c>
      <c r="K25" s="8">
        <v>0.102</v>
      </c>
      <c r="L25" s="8">
        <v>0.104</v>
      </c>
      <c r="M25" s="8">
        <v>0.1</v>
      </c>
      <c r="N25" s="8">
        <v>0.102</v>
      </c>
      <c r="O25" s="9">
        <v>600.0</v>
      </c>
      <c r="P25" s="1">
        <f>AVERAGE(C25:N25)</f>
        <v>0.1021666667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7" t="s">
        <v>27</v>
      </c>
      <c r="C26" s="11">
        <v>1.37</v>
      </c>
      <c r="D26" s="11">
        <v>1.431</v>
      </c>
      <c r="E26" s="11">
        <v>1.426</v>
      </c>
      <c r="F26" s="11">
        <v>1.445</v>
      </c>
      <c r="G26" s="11">
        <v>1.432</v>
      </c>
      <c r="H26" s="11">
        <v>1.404</v>
      </c>
      <c r="I26" s="11">
        <v>1.438</v>
      </c>
      <c r="J26" s="11">
        <v>1.43</v>
      </c>
      <c r="K26" s="11">
        <v>1.404</v>
      </c>
      <c r="L26" s="11">
        <v>1.385</v>
      </c>
      <c r="M26" s="11">
        <v>1.407</v>
      </c>
      <c r="N26" s="10">
        <v>1.317</v>
      </c>
      <c r="O26" s="9">
        <v>600.0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7" t="s">
        <v>28</v>
      </c>
      <c r="C27" s="11">
        <v>1.396</v>
      </c>
      <c r="D27" s="11">
        <v>1.442</v>
      </c>
      <c r="E27" s="11">
        <v>1.442</v>
      </c>
      <c r="F27" s="11">
        <v>1.405</v>
      </c>
      <c r="G27" s="11">
        <v>1.423</v>
      </c>
      <c r="H27" s="10">
        <v>1.339</v>
      </c>
      <c r="I27" s="11">
        <v>1.379</v>
      </c>
      <c r="J27" s="10">
        <v>1.338</v>
      </c>
      <c r="K27" s="11">
        <v>1.355</v>
      </c>
      <c r="L27" s="11">
        <v>1.364</v>
      </c>
      <c r="M27" s="10">
        <v>1.299</v>
      </c>
      <c r="N27" s="10">
        <v>1.323</v>
      </c>
      <c r="O27" s="9">
        <v>600.0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7" t="s">
        <v>29</v>
      </c>
      <c r="C28" s="10">
        <v>1.321</v>
      </c>
      <c r="D28" s="11">
        <v>1.369</v>
      </c>
      <c r="E28" s="10">
        <v>1.338</v>
      </c>
      <c r="F28" s="12">
        <v>1.225</v>
      </c>
      <c r="G28" s="14">
        <v>0.431</v>
      </c>
      <c r="H28" s="14">
        <v>0.403</v>
      </c>
      <c r="I28" s="12">
        <v>1.187</v>
      </c>
      <c r="J28" s="14">
        <v>0.413</v>
      </c>
      <c r="K28" s="20">
        <v>0.501</v>
      </c>
      <c r="L28" s="12">
        <v>1.213</v>
      </c>
      <c r="M28" s="20">
        <v>0.498</v>
      </c>
      <c r="N28" s="20">
        <v>0.508</v>
      </c>
      <c r="O28" s="9">
        <v>600.0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7" t="s">
        <v>30</v>
      </c>
      <c r="C29" s="11">
        <v>1.351</v>
      </c>
      <c r="D29" s="11">
        <v>1.397</v>
      </c>
      <c r="E29" s="11">
        <v>1.352</v>
      </c>
      <c r="F29" s="13">
        <v>0.324</v>
      </c>
      <c r="G29" s="15">
        <v>0.213</v>
      </c>
      <c r="H29" s="15">
        <v>0.203</v>
      </c>
      <c r="I29" s="13">
        <v>0.332</v>
      </c>
      <c r="J29" s="15">
        <v>0.266</v>
      </c>
      <c r="K29" s="15">
        <v>0.269</v>
      </c>
      <c r="L29" s="13">
        <v>0.346</v>
      </c>
      <c r="M29" s="15">
        <v>0.24</v>
      </c>
      <c r="N29" s="15">
        <v>0.227</v>
      </c>
      <c r="O29" s="9">
        <v>600.0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7" t="s">
        <v>31</v>
      </c>
      <c r="C30" s="10">
        <v>1.314</v>
      </c>
      <c r="D30" s="10">
        <v>1.275</v>
      </c>
      <c r="E30" s="12">
        <v>1.234</v>
      </c>
      <c r="F30" s="15">
        <v>0.221</v>
      </c>
      <c r="G30" s="8">
        <v>0.183</v>
      </c>
      <c r="H30" s="8">
        <v>0.168</v>
      </c>
      <c r="I30" s="15">
        <v>0.276</v>
      </c>
      <c r="J30" s="15">
        <v>0.218</v>
      </c>
      <c r="K30" s="15">
        <v>0.239</v>
      </c>
      <c r="L30" s="15">
        <v>0.24</v>
      </c>
      <c r="M30" s="15">
        <v>0.198</v>
      </c>
      <c r="N30" s="8">
        <v>0.18</v>
      </c>
      <c r="O30" s="9">
        <v>600.0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7" t="s">
        <v>32</v>
      </c>
      <c r="C31" s="22">
        <v>0.816</v>
      </c>
      <c r="D31" s="13">
        <v>0.296</v>
      </c>
      <c r="E31" s="13">
        <v>0.308</v>
      </c>
      <c r="F31" s="8">
        <v>0.177</v>
      </c>
      <c r="G31" s="8">
        <v>0.147</v>
      </c>
      <c r="H31" s="8">
        <v>0.14</v>
      </c>
      <c r="I31" s="15">
        <v>0.255</v>
      </c>
      <c r="J31" s="15">
        <v>0.206</v>
      </c>
      <c r="K31" s="15">
        <v>0.213</v>
      </c>
      <c r="L31" s="8">
        <v>0.189</v>
      </c>
      <c r="M31" s="8">
        <v>0.172</v>
      </c>
      <c r="N31" s="8">
        <v>0.162</v>
      </c>
      <c r="O31" s="9">
        <v>600.0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7" t="s">
        <v>33</v>
      </c>
      <c r="C32" s="8">
        <v>0.187</v>
      </c>
      <c r="D32" s="8">
        <v>0.16</v>
      </c>
      <c r="E32" s="8">
        <v>0.166</v>
      </c>
      <c r="F32" s="8">
        <v>0.142</v>
      </c>
      <c r="G32" s="8">
        <v>0.123</v>
      </c>
      <c r="H32" s="8">
        <v>0.114</v>
      </c>
      <c r="I32" s="15">
        <v>0.227</v>
      </c>
      <c r="J32" s="8">
        <v>0.175</v>
      </c>
      <c r="K32" s="8">
        <v>0.183</v>
      </c>
      <c r="L32" s="8">
        <v>0.147</v>
      </c>
      <c r="M32" s="8">
        <v>0.137</v>
      </c>
      <c r="N32" s="8">
        <v>0.147</v>
      </c>
      <c r="O32" s="9">
        <v>600.0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">
        <f t="shared" ref="C35:N35" si="1">C26-$P$25</f>
        <v>1.267833333</v>
      </c>
      <c r="D35" s="1">
        <f t="shared" si="1"/>
        <v>1.328833333</v>
      </c>
      <c r="E35" s="1">
        <f t="shared" si="1"/>
        <v>1.323833333</v>
      </c>
      <c r="F35" s="1">
        <f t="shared" si="1"/>
        <v>1.342833333</v>
      </c>
      <c r="G35" s="1">
        <f t="shared" si="1"/>
        <v>1.329833333</v>
      </c>
      <c r="H35" s="1">
        <f t="shared" si="1"/>
        <v>1.301833333</v>
      </c>
      <c r="I35" s="1">
        <f t="shared" si="1"/>
        <v>1.335833333</v>
      </c>
      <c r="J35" s="1">
        <f t="shared" si="1"/>
        <v>1.327833333</v>
      </c>
      <c r="K35" s="1">
        <f t="shared" si="1"/>
        <v>1.301833333</v>
      </c>
      <c r="L35" s="1">
        <f t="shared" si="1"/>
        <v>1.282833333</v>
      </c>
      <c r="M35" s="1">
        <f t="shared" si="1"/>
        <v>1.304833333</v>
      </c>
      <c r="N35" s="1">
        <f t="shared" si="1"/>
        <v>1.214833333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">
        <f t="shared" ref="C36:N36" si="2">C27-$P$25</f>
        <v>1.293833333</v>
      </c>
      <c r="D36" s="1">
        <f t="shared" si="2"/>
        <v>1.339833333</v>
      </c>
      <c r="E36" s="1">
        <f t="shared" si="2"/>
        <v>1.339833333</v>
      </c>
      <c r="F36" s="1">
        <f t="shared" si="2"/>
        <v>1.302833333</v>
      </c>
      <c r="G36" s="1">
        <f t="shared" si="2"/>
        <v>1.320833333</v>
      </c>
      <c r="H36" s="1">
        <f t="shared" si="2"/>
        <v>1.236833333</v>
      </c>
      <c r="I36" s="1">
        <f t="shared" si="2"/>
        <v>1.276833333</v>
      </c>
      <c r="J36" s="1">
        <f t="shared" si="2"/>
        <v>1.235833333</v>
      </c>
      <c r="K36" s="1">
        <f t="shared" si="2"/>
        <v>1.252833333</v>
      </c>
      <c r="L36" s="1">
        <f t="shared" si="2"/>
        <v>1.261833333</v>
      </c>
      <c r="M36" s="1">
        <f t="shared" si="2"/>
        <v>1.196833333</v>
      </c>
      <c r="N36" s="1">
        <f t="shared" si="2"/>
        <v>1.220833333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">
        <f t="shared" ref="C37:N37" si="3">C28-$P$25</f>
        <v>1.218833333</v>
      </c>
      <c r="D37" s="1">
        <f t="shared" si="3"/>
        <v>1.266833333</v>
      </c>
      <c r="E37" s="1">
        <f t="shared" si="3"/>
        <v>1.235833333</v>
      </c>
      <c r="F37" s="1">
        <f t="shared" si="3"/>
        <v>1.122833333</v>
      </c>
      <c r="G37" s="1">
        <f t="shared" si="3"/>
        <v>0.3288333333</v>
      </c>
      <c r="H37" s="1">
        <f t="shared" si="3"/>
        <v>0.3008333333</v>
      </c>
      <c r="I37" s="1">
        <f t="shared" si="3"/>
        <v>1.084833333</v>
      </c>
      <c r="J37" s="1">
        <f t="shared" si="3"/>
        <v>0.3108333333</v>
      </c>
      <c r="K37" s="1">
        <f t="shared" si="3"/>
        <v>0.3988333333</v>
      </c>
      <c r="L37" s="1">
        <f t="shared" si="3"/>
        <v>1.110833333</v>
      </c>
      <c r="M37" s="1">
        <f t="shared" si="3"/>
        <v>0.3958333333</v>
      </c>
      <c r="N37" s="1">
        <f t="shared" si="3"/>
        <v>0.4058333333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">
        <f t="shared" ref="C38:N38" si="4">C29-$P$25</f>
        <v>1.248833333</v>
      </c>
      <c r="D38" s="1">
        <f t="shared" si="4"/>
        <v>1.294833333</v>
      </c>
      <c r="E38" s="1">
        <f t="shared" si="4"/>
        <v>1.249833333</v>
      </c>
      <c r="F38" s="1">
        <f t="shared" si="4"/>
        <v>0.2218333333</v>
      </c>
      <c r="G38" s="1">
        <f t="shared" si="4"/>
        <v>0.1108333333</v>
      </c>
      <c r="H38" s="1">
        <f t="shared" si="4"/>
        <v>0.1008333333</v>
      </c>
      <c r="I38" s="1">
        <f t="shared" si="4"/>
        <v>0.2298333333</v>
      </c>
      <c r="J38" s="1">
        <f t="shared" si="4"/>
        <v>0.1638333333</v>
      </c>
      <c r="K38" s="1">
        <f t="shared" si="4"/>
        <v>0.1668333333</v>
      </c>
      <c r="L38" s="1">
        <f t="shared" si="4"/>
        <v>0.2438333333</v>
      </c>
      <c r="M38" s="1">
        <f t="shared" si="4"/>
        <v>0.1378333333</v>
      </c>
      <c r="N38" s="1">
        <f t="shared" si="4"/>
        <v>0.1248333333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">
        <f t="shared" ref="C39:N39" si="5">C30-$P$25</f>
        <v>1.211833333</v>
      </c>
      <c r="D39" s="1">
        <f t="shared" si="5"/>
        <v>1.172833333</v>
      </c>
      <c r="E39" s="1">
        <f t="shared" si="5"/>
        <v>1.131833333</v>
      </c>
      <c r="F39" s="1">
        <f t="shared" si="5"/>
        <v>0.1188333333</v>
      </c>
      <c r="G39" s="1">
        <f t="shared" si="5"/>
        <v>0.08083333333</v>
      </c>
      <c r="H39" s="1">
        <f t="shared" si="5"/>
        <v>0.06583333333</v>
      </c>
      <c r="I39" s="1">
        <f t="shared" si="5"/>
        <v>0.1738333333</v>
      </c>
      <c r="J39" s="1">
        <f t="shared" si="5"/>
        <v>0.1158333333</v>
      </c>
      <c r="K39" s="1">
        <f t="shared" si="5"/>
        <v>0.1368333333</v>
      </c>
      <c r="L39" s="1">
        <f t="shared" si="5"/>
        <v>0.1378333333</v>
      </c>
      <c r="M39" s="1">
        <f t="shared" si="5"/>
        <v>0.09583333333</v>
      </c>
      <c r="N39" s="1">
        <f t="shared" si="5"/>
        <v>0.07783333333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">
        <f t="shared" ref="C40:N40" si="6">C31-$P$25</f>
        <v>0.7138333333</v>
      </c>
      <c r="D40" s="1">
        <f t="shared" si="6"/>
        <v>0.1938333333</v>
      </c>
      <c r="E40" s="1">
        <f t="shared" si="6"/>
        <v>0.2058333333</v>
      </c>
      <c r="F40" s="1">
        <f t="shared" si="6"/>
        <v>0.07483333333</v>
      </c>
      <c r="G40" s="1">
        <f t="shared" si="6"/>
        <v>0.04483333333</v>
      </c>
      <c r="H40" s="1">
        <f t="shared" si="6"/>
        <v>0.03783333333</v>
      </c>
      <c r="I40" s="1">
        <f t="shared" si="6"/>
        <v>0.1528333333</v>
      </c>
      <c r="J40" s="1">
        <f t="shared" si="6"/>
        <v>0.1038333333</v>
      </c>
      <c r="K40" s="1">
        <f t="shared" si="6"/>
        <v>0.1108333333</v>
      </c>
      <c r="L40" s="1">
        <f t="shared" si="6"/>
        <v>0.08683333333</v>
      </c>
      <c r="M40" s="1">
        <f t="shared" si="6"/>
        <v>0.06983333333</v>
      </c>
      <c r="N40" s="1">
        <f t="shared" si="6"/>
        <v>0.05983333333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">
        <f t="shared" ref="C41:N41" si="7">C32-$P$25</f>
        <v>0.08483333333</v>
      </c>
      <c r="D41" s="1">
        <f t="shared" si="7"/>
        <v>0.05783333333</v>
      </c>
      <c r="E41" s="1">
        <f t="shared" si="7"/>
        <v>0.06383333333</v>
      </c>
      <c r="F41" s="1">
        <f t="shared" si="7"/>
        <v>0.03983333333</v>
      </c>
      <c r="G41" s="1">
        <f t="shared" si="7"/>
        <v>0.02083333333</v>
      </c>
      <c r="H41" s="1">
        <f t="shared" si="7"/>
        <v>0.01183333333</v>
      </c>
      <c r="I41" s="1">
        <f t="shared" si="7"/>
        <v>0.1248333333</v>
      </c>
      <c r="J41" s="1">
        <f t="shared" si="7"/>
        <v>0.07283333333</v>
      </c>
      <c r="K41" s="1">
        <f t="shared" si="7"/>
        <v>0.08083333333</v>
      </c>
      <c r="L41" s="1">
        <f t="shared" si="7"/>
        <v>0.04483333333</v>
      </c>
      <c r="M41" s="1">
        <f t="shared" si="7"/>
        <v>0.03483333333</v>
      </c>
      <c r="N41" s="1">
        <f t="shared" si="7"/>
        <v>0.04483333333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">
        <f t="shared" si="8"/>
        <v>1.020507427</v>
      </c>
      <c r="D45" s="1">
        <f t="shared" si="9"/>
        <v>1.008277938</v>
      </c>
      <c r="E45" s="1">
        <f t="shared" si="10"/>
        <v>1.012086114</v>
      </c>
      <c r="F45" s="1">
        <f t="shared" si="11"/>
        <v>0.9702122378</v>
      </c>
      <c r="G45" s="1">
        <f t="shared" si="12"/>
        <v>0.9932322346</v>
      </c>
      <c r="H45" s="1">
        <f t="shared" si="13"/>
        <v>0.9500704135</v>
      </c>
      <c r="I45" s="1">
        <f t="shared" si="14"/>
        <v>0.9558328135</v>
      </c>
      <c r="J45" s="1">
        <f t="shared" si="15"/>
        <v>0.9307141961</v>
      </c>
      <c r="K45" s="1">
        <f t="shared" si="16"/>
        <v>0.9623607733</v>
      </c>
      <c r="L45" s="1">
        <f t="shared" si="17"/>
        <v>0.9836299857</v>
      </c>
      <c r="M45" s="1">
        <f t="shared" si="18"/>
        <v>0.9172308085</v>
      </c>
      <c r="N45" s="1">
        <f t="shared" si="19"/>
        <v>1.004938949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">
        <f t="shared" si="8"/>
        <v>0.9613513869</v>
      </c>
      <c r="D46" s="1">
        <f t="shared" si="9"/>
        <v>0.953342531</v>
      </c>
      <c r="E46" s="1">
        <f t="shared" si="10"/>
        <v>0.9335263754</v>
      </c>
      <c r="F46" s="1">
        <f t="shared" si="11"/>
        <v>0.8361673079</v>
      </c>
      <c r="G46" s="1">
        <f t="shared" si="12"/>
        <v>0.2472740945</v>
      </c>
      <c r="H46" s="1">
        <f t="shared" si="13"/>
        <v>0.2310843682</v>
      </c>
      <c r="I46" s="1">
        <f t="shared" si="14"/>
        <v>0.8121023082</v>
      </c>
      <c r="J46" s="1">
        <f t="shared" si="15"/>
        <v>0.2340906238</v>
      </c>
      <c r="K46" s="1">
        <f t="shared" si="16"/>
        <v>0.3063628217</v>
      </c>
      <c r="L46" s="1">
        <f t="shared" si="17"/>
        <v>0.8659217877</v>
      </c>
      <c r="M46" s="1">
        <f t="shared" si="18"/>
        <v>0.3033593051</v>
      </c>
      <c r="N46" s="1">
        <f t="shared" si="19"/>
        <v>0.3340650295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">
        <f t="shared" si="8"/>
        <v>0.9850138031</v>
      </c>
      <c r="D47" s="1">
        <f t="shared" si="9"/>
        <v>0.9744136461</v>
      </c>
      <c r="E47" s="1">
        <f t="shared" si="10"/>
        <v>0.9441017248</v>
      </c>
      <c r="F47" s="1">
        <f t="shared" si="11"/>
        <v>0.1651979645</v>
      </c>
      <c r="G47" s="1">
        <f t="shared" si="12"/>
        <v>0.08334377742</v>
      </c>
      <c r="H47" s="1">
        <f t="shared" si="13"/>
        <v>0.07745487134</v>
      </c>
      <c r="I47" s="1">
        <f t="shared" si="14"/>
        <v>0.1720524017</v>
      </c>
      <c r="J47" s="1">
        <f t="shared" si="15"/>
        <v>0.1233839588</v>
      </c>
      <c r="K47" s="1">
        <f t="shared" si="16"/>
        <v>0.1281526053</v>
      </c>
      <c r="L47" s="1">
        <f t="shared" si="17"/>
        <v>0.1900740548</v>
      </c>
      <c r="M47" s="1">
        <f t="shared" si="18"/>
        <v>0.1056329033</v>
      </c>
      <c r="N47" s="1">
        <f t="shared" si="19"/>
        <v>0.1027575799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">
        <f t="shared" si="8"/>
        <v>0.9558301564</v>
      </c>
      <c r="D48" s="1">
        <f t="shared" si="9"/>
        <v>0.8826037878</v>
      </c>
      <c r="E48" s="1">
        <f t="shared" si="10"/>
        <v>0.8549666373</v>
      </c>
      <c r="F48" s="1">
        <f t="shared" si="11"/>
        <v>0.08849447685</v>
      </c>
      <c r="G48" s="1">
        <f t="shared" si="12"/>
        <v>0.06078455947</v>
      </c>
      <c r="H48" s="1">
        <f t="shared" si="13"/>
        <v>0.05056970938</v>
      </c>
      <c r="I48" s="1">
        <f t="shared" si="14"/>
        <v>0.1301310044</v>
      </c>
      <c r="J48" s="1">
        <f t="shared" si="15"/>
        <v>0.08723484373</v>
      </c>
      <c r="K48" s="1">
        <f t="shared" si="16"/>
        <v>0.1051081808</v>
      </c>
      <c r="L48" s="1">
        <f t="shared" si="17"/>
        <v>0.1074444589</v>
      </c>
      <c r="M48" s="1">
        <f t="shared" si="18"/>
        <v>0.0734448844</v>
      </c>
      <c r="N48" s="1">
        <f t="shared" si="19"/>
        <v>0.06406914529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">
        <f t="shared" si="8"/>
        <v>0.5630340476</v>
      </c>
      <c r="D49" s="1">
        <f t="shared" si="9"/>
        <v>0.1458673021</v>
      </c>
      <c r="E49" s="1">
        <f t="shared" si="10"/>
        <v>0.1554828151</v>
      </c>
      <c r="F49" s="1">
        <f t="shared" si="11"/>
        <v>0.05572793844</v>
      </c>
      <c r="G49" s="1">
        <f t="shared" si="12"/>
        <v>0.03371349793</v>
      </c>
      <c r="H49" s="1">
        <f t="shared" si="13"/>
        <v>0.02906157982</v>
      </c>
      <c r="I49" s="1">
        <f t="shared" si="14"/>
        <v>0.1144104803</v>
      </c>
      <c r="J49" s="1">
        <f t="shared" si="15"/>
        <v>0.07819756496</v>
      </c>
      <c r="K49" s="1">
        <f t="shared" si="16"/>
        <v>0.08513634618</v>
      </c>
      <c r="L49" s="1">
        <f t="shared" si="17"/>
        <v>0.06768870989</v>
      </c>
      <c r="M49" s="1">
        <f t="shared" si="18"/>
        <v>0.05351896794</v>
      </c>
      <c r="N49" s="1">
        <f t="shared" si="19"/>
        <v>0.04925229798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">
        <f t="shared" si="8"/>
        <v>0.06691205469</v>
      </c>
      <c r="D50" s="1">
        <f t="shared" si="9"/>
        <v>0.04352188637</v>
      </c>
      <c r="E50" s="1">
        <f t="shared" si="10"/>
        <v>0.04821855722</v>
      </c>
      <c r="F50" s="1">
        <f t="shared" si="11"/>
        <v>0.02966364652</v>
      </c>
      <c r="G50" s="1">
        <f t="shared" si="12"/>
        <v>0.01566612357</v>
      </c>
      <c r="H50" s="1">
        <f t="shared" si="13"/>
        <v>0.009089745231</v>
      </c>
      <c r="I50" s="1">
        <f t="shared" si="14"/>
        <v>0.09344978166</v>
      </c>
      <c r="J50" s="1">
        <f t="shared" si="15"/>
        <v>0.05485126145</v>
      </c>
      <c r="K50" s="1">
        <f t="shared" si="16"/>
        <v>0.06209192165</v>
      </c>
      <c r="L50" s="1">
        <f t="shared" si="17"/>
        <v>0.0349486813</v>
      </c>
      <c r="M50" s="1">
        <f t="shared" si="18"/>
        <v>0.02669561885</v>
      </c>
      <c r="N50" s="1">
        <f t="shared" si="19"/>
        <v>0.03690492523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Plate Reader Access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