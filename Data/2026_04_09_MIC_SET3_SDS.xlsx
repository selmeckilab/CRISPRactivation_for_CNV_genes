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 1 - Sheet1" sheetId="1" r:id="rId4"/>
    <sheet state="visible" name="Plate 2 - Sheet1" sheetId="2" r:id="rId5"/>
    <sheet state="visible" name="Plate 3 - Sheet1" sheetId="3" r:id="rId6"/>
  </sheets>
  <definedNames>
    <definedName name="MethodPointer1">-1226290336</definedName>
    <definedName name="MethodPointer2">395</definedName>
  </definedNames>
  <calcPr/>
  <extLst>
    <ext uri="GoogleSheetsCustomDataVersion2">
      <go:sheetsCustomData xmlns:go="http://customooxmlschemas.google.com/" r:id="rId7" roundtripDataChecksum="uFqZ4comoCqUJ7q3TU7PINroWB9RDgkHtiYxFr7K/tQ="/>
    </ext>
  </extLst>
</workbook>
</file>

<file path=xl/sharedStrings.xml><?xml version="1.0" encoding="utf-8"?>
<sst xmlns="http://schemas.openxmlformats.org/spreadsheetml/2006/main" count="120" uniqueCount="44">
  <si>
    <t>Software Version</t>
  </si>
  <si>
    <t>3.16.10</t>
  </si>
  <si>
    <t>Experiment File Path:</t>
  </si>
  <si>
    <t>C:\Users\Plate Reader Access\Desktop\Selmecki lab\Erika\2026_04_09_MIC_SET3_SDS.xpt</t>
  </si>
  <si>
    <t>Protocol File Path:</t>
  </si>
  <si>
    <t>C:\Users\Public\Documents\Protocols\YPAD_MIC.prt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</si>
  <si>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</si>
  <si>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</si>
  <si>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</si>
  <si>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</si>
  <si>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</si>
  <si>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</si>
  <si>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</si>
  <si>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</si>
  <si>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</si>
  <si>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</si>
  <si>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</si>
  <si>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</si>
  <si>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</si>
  <si>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</si>
  <si>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</si>
  <si>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</si>
  <si>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</si>
  <si>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</si>
  <si>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</si>
  <si>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</si>
  <si>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</si>
  <si>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</si>
  <si>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</si>
  <si>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</si>
  <si>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</si>
  <si>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</si>
  <si>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</si>
  <si>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</si>
  <si>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C26</t>
  </si>
  <si>
    <t>C27</t>
  </si>
  <si>
    <t>C36</t>
  </si>
  <si>
    <t>C37</t>
  </si>
  <si>
    <t>C21</t>
  </si>
  <si>
    <t>C22</t>
  </si>
  <si>
    <t>SDS</t>
  </si>
  <si>
    <t>no drug</t>
  </si>
  <si>
    <t>Plate 2</t>
  </si>
  <si>
    <t>Plate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</si>
</sst>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%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u/>
      <sz val="10.0"/>
      <color rgb="FF000000"/>
      <name val="Arial"/>
    </font>
    <font>
      <sz val="10.0"/>
      <color rgb="FF000000"/>
      <name val="Arial"/>
    </font>
    <font>
      <sz val="10.0"/>
      <color rgb="FF27413E"/>
      <name val="Arial"/>
    </font>
    <font>
      <sz val="7.0"/>
      <color rgb="FF000000"/>
      <name val="Arial"/>
    </font>
    <font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E8F3FF"/>
        <bgColor rgb="FFE8F3FF"/>
      </patternFill>
    </fill>
    <fill>
      <patternFill patternType="solid">
        <fgColor rgb="FF247CBD"/>
        <bgColor rgb="FF247CBD"/>
      </patternFill>
    </fill>
    <fill>
      <patternFill patternType="solid">
        <fgColor rgb="FF3385C2"/>
        <bgColor rgb="FF3385C2"/>
      </patternFill>
    </fill>
    <fill>
      <patternFill patternType="solid">
        <fgColor rgb="FF6FA9D6"/>
        <bgColor rgb="FF6FA9D6"/>
      </patternFill>
    </fill>
    <fill>
      <patternFill patternType="solid">
        <fgColor rgb="FF60A0D1"/>
        <bgColor rgb="FF60A0D1"/>
      </patternFill>
    </fill>
    <fill>
      <patternFill patternType="solid">
        <fgColor rgb="FF428EC7"/>
        <bgColor rgb="FF428EC7"/>
      </patternFill>
    </fill>
    <fill>
      <patternFill patternType="solid">
        <fgColor rgb="FFD8E9F9"/>
        <bgColor rgb="FFD8E9F9"/>
      </patternFill>
    </fill>
    <fill>
      <patternFill patternType="solid">
        <fgColor rgb="FFC9E0F4"/>
        <bgColor rgb="FFC9E0F4"/>
      </patternFill>
    </fill>
    <fill>
      <patternFill patternType="solid">
        <fgColor rgb="FF9CC5E5"/>
        <bgColor rgb="FF9CC5E5"/>
      </patternFill>
    </fill>
    <fill>
      <patternFill patternType="solid">
        <fgColor rgb="FFBAD7EF"/>
        <bgColor rgb="FFBAD7EF"/>
      </patternFill>
    </fill>
    <fill>
      <patternFill patternType="solid">
        <fgColor rgb="FFABCEEA"/>
        <bgColor rgb="FFABCEEA"/>
      </patternFill>
    </fill>
    <fill>
      <patternFill patternType="solid">
        <fgColor rgb="FF5197CC"/>
        <bgColor rgb="FF5197CC"/>
      </patternFill>
    </fill>
    <fill>
      <patternFill patternType="solid">
        <fgColor rgb="FF8DBCE0"/>
        <bgColor rgb="FF8DBCE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9" xfId="0" applyFont="1" applyNumberForma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1" fillId="12" fontId="4" numFmtId="0" xfId="0" applyAlignment="1" applyBorder="1" applyFill="1" applyFont="1">
      <alignment horizontal="center" shrinkToFit="0" vertical="center" wrapText="1"/>
    </xf>
    <xf borderId="1" fillId="13" fontId="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shrinkToFit="0" vertical="center" wrapText="1"/>
    </xf>
    <xf borderId="1" fillId="0" fontId="5" numFmtId="10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vertical="bottom"/>
    </xf>
    <xf borderId="0" fillId="0" fontId="2" numFmtId="0" xfId="0" applyFont="1"/>
    <xf borderId="1" fillId="14" fontId="4" numFmtId="0" xfId="0" applyAlignment="1" applyBorder="1" applyFill="1" applyFont="1">
      <alignment horizontal="center" shrinkToFit="0" vertical="center" wrapText="1"/>
    </xf>
    <xf borderId="1" fillId="15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8" width="8.63"/>
  </cols>
  <sheetData>
    <row r="1" ht="12.75" customHeight="1"/>
    <row r="2" ht="12.75" customHeight="1">
      <c r="A2" s="1" t="s">
        <v>0</v>
      </c>
      <c r="B2" s="1" t="s">
        <v>1</v>
      </c>
    </row>
    <row r="3" ht="12.75" customHeight="1"/>
    <row r="4" ht="12.75" customHeight="1">
      <c r="A4" s="1" t="s">
        <v>2</v>
      </c>
      <c r="B4" s="1" t="s">
        <v>3</v>
      </c>
    </row>
    <row r="5" ht="12.75" customHeight="1">
      <c r="A5" s="1" t="s">
        <v>4</v>
      </c>
      <c r="B5" s="1" t="s">
        <v>5</v>
      </c>
    </row>
    <row r="6" ht="12.75" customHeight="1">
      <c r="A6" s="1" t="s">
        <v>6</v>
      </c>
      <c r="B6" s="1" t="s">
        <v>7</v>
      </c>
    </row>
    <row r="7" ht="12.75" customHeight="1">
      <c r="A7" s="1" t="s">
        <v>8</v>
      </c>
      <c r="B7" s="2">
        <v>46121.0</v>
      </c>
    </row>
    <row r="8" ht="12.75" customHeight="1">
      <c r="A8" s="1" t="s">
        <v>9</v>
      </c>
      <c r="B8" s="3">
        <v>0.6570833333333334</v>
      </c>
    </row>
    <row r="9" ht="12.75" customHeight="1">
      <c r="A9" s="1" t="s">
        <v>10</v>
      </c>
      <c r="B9" s="1" t="s">
        <v>11</v>
      </c>
    </row>
    <row r="10" ht="12.75" customHeight="1">
      <c r="A10" s="1" t="s">
        <v>12</v>
      </c>
      <c r="B10" s="1">
        <v>2.5030902E7</v>
      </c>
    </row>
    <row r="11" ht="12.75" customHeight="1">
      <c r="A11" s="1" t="s">
        <v>13</v>
      </c>
      <c r="B11" s="1" t="s">
        <v>14</v>
      </c>
    </row>
    <row r="12" ht="12.75" customHeight="1"/>
    <row r="13" ht="12.75" customHeight="1">
      <c r="A13" s="4" t="s">
        <v>15</v>
      </c>
      <c r="B13" s="5"/>
    </row>
    <row r="14" ht="12.75" customHeight="1">
      <c r="A14" s="1" t="s">
        <v>16</v>
      </c>
      <c r="B14" s="1" t="s">
        <v>17</v>
      </c>
    </row>
    <row r="15" ht="12.75" customHeight="1">
      <c r="A15" s="1" t="s">
        <v>18</v>
      </c>
    </row>
    <row r="16" ht="12.75" customHeight="1">
      <c r="A16" s="1" t="s">
        <v>19</v>
      </c>
      <c r="B16" s="1" t="s">
        <v>20</v>
      </c>
    </row>
    <row r="17" ht="12.75" customHeight="1">
      <c r="B17" s="1" t="s">
        <v>21</v>
      </c>
    </row>
    <row r="18" ht="12.75" customHeight="1">
      <c r="B18" s="1" t="s">
        <v>22</v>
      </c>
    </row>
    <row r="19" ht="12.75" customHeight="1">
      <c r="B19" s="1" t="s">
        <v>23</v>
      </c>
    </row>
    <row r="20" ht="12.75" customHeight="1"/>
    <row r="21" ht="12.75" customHeight="1">
      <c r="A21" s="4" t="s">
        <v>24</v>
      </c>
      <c r="B21" s="5"/>
    </row>
    <row r="22" ht="12.75" customHeight="1">
      <c r="A22" s="1" t="s">
        <v>25</v>
      </c>
      <c r="B22" s="1">
        <v>26.3</v>
      </c>
    </row>
    <row r="23" ht="12.75" customHeight="1"/>
    <row r="24" ht="12.75" customHeight="1">
      <c r="B24" s="6"/>
      <c r="C24" s="7">
        <v>1.0</v>
      </c>
      <c r="D24" s="7">
        <v>2.0</v>
      </c>
      <c r="E24" s="7">
        <v>3.0</v>
      </c>
      <c r="F24" s="7">
        <v>4.0</v>
      </c>
      <c r="G24" s="7">
        <v>5.0</v>
      </c>
      <c r="H24" s="7">
        <v>6.0</v>
      </c>
      <c r="I24" s="7">
        <v>7.0</v>
      </c>
      <c r="J24" s="7">
        <v>8.0</v>
      </c>
      <c r="K24" s="7">
        <v>9.0</v>
      </c>
      <c r="L24" s="7">
        <v>10.0</v>
      </c>
      <c r="M24" s="7">
        <v>11.0</v>
      </c>
      <c r="N24" s="7">
        <v>12.0</v>
      </c>
    </row>
    <row r="25" ht="12.75" customHeight="1">
      <c r="B25" s="7" t="s">
        <v>26</v>
      </c>
      <c r="C25" s="8">
        <v>0.102</v>
      </c>
      <c r="D25" s="8">
        <v>0.101</v>
      </c>
      <c r="E25" s="8">
        <v>0.101</v>
      </c>
      <c r="F25" s="8">
        <v>0.1</v>
      </c>
      <c r="G25" s="8">
        <v>0.101</v>
      </c>
      <c r="H25" s="8">
        <v>0.101</v>
      </c>
      <c r="I25" s="8">
        <v>0.101</v>
      </c>
      <c r="J25" s="8">
        <v>0.101</v>
      </c>
      <c r="K25" s="8">
        <v>0.101</v>
      </c>
      <c r="L25" s="8">
        <v>0.103</v>
      </c>
      <c r="M25" s="8">
        <v>0.105</v>
      </c>
      <c r="N25" s="8">
        <v>0.103</v>
      </c>
      <c r="O25" s="9">
        <v>600.0</v>
      </c>
      <c r="P25" s="1">
        <f>AVERAGE(C25:N25)</f>
        <v>0.1016666667</v>
      </c>
    </row>
    <row r="26" ht="12.75" customHeight="1">
      <c r="B26" s="7" t="s">
        <v>27</v>
      </c>
      <c r="C26" s="10">
        <v>1.425</v>
      </c>
      <c r="D26" s="10">
        <v>1.407</v>
      </c>
      <c r="E26" s="10">
        <v>1.414</v>
      </c>
      <c r="F26" s="10">
        <v>1.409</v>
      </c>
      <c r="G26" s="10">
        <v>1.399</v>
      </c>
      <c r="H26" s="10">
        <v>1.398</v>
      </c>
      <c r="I26" s="10">
        <v>1.46</v>
      </c>
      <c r="J26" s="10">
        <v>1.448</v>
      </c>
      <c r="K26" s="10">
        <v>1.436</v>
      </c>
      <c r="L26" s="10">
        <v>1.436</v>
      </c>
      <c r="M26" s="10">
        <v>1.421</v>
      </c>
      <c r="N26" s="10">
        <v>1.402</v>
      </c>
      <c r="O26" s="9">
        <v>600.0</v>
      </c>
    </row>
    <row r="27" ht="12.75" customHeight="1">
      <c r="B27" s="7" t="s">
        <v>28</v>
      </c>
      <c r="C27" s="10">
        <v>1.398</v>
      </c>
      <c r="D27" s="10">
        <v>1.411</v>
      </c>
      <c r="E27" s="10">
        <v>1.434</v>
      </c>
      <c r="F27" s="10">
        <v>1.417</v>
      </c>
      <c r="G27" s="10">
        <v>1.415</v>
      </c>
      <c r="H27" s="10">
        <v>1.409</v>
      </c>
      <c r="I27" s="10">
        <v>1.465</v>
      </c>
      <c r="J27" s="10">
        <v>1.462</v>
      </c>
      <c r="K27" s="10">
        <v>1.441</v>
      </c>
      <c r="L27" s="10">
        <v>1.433</v>
      </c>
      <c r="M27" s="10">
        <v>1.429</v>
      </c>
      <c r="N27" s="10">
        <v>1.418</v>
      </c>
      <c r="O27" s="9">
        <v>600.0</v>
      </c>
    </row>
    <row r="28" ht="12.75" customHeight="1">
      <c r="B28" s="7" t="s">
        <v>29</v>
      </c>
      <c r="C28" s="11">
        <v>1.325</v>
      </c>
      <c r="D28" s="10">
        <v>1.37</v>
      </c>
      <c r="E28" s="11">
        <v>1.366</v>
      </c>
      <c r="F28" s="11">
        <v>1.36</v>
      </c>
      <c r="G28" s="11">
        <v>1.345</v>
      </c>
      <c r="H28" s="11">
        <v>1.346</v>
      </c>
      <c r="I28" s="11">
        <v>1.345</v>
      </c>
      <c r="J28" s="11">
        <v>1.343</v>
      </c>
      <c r="K28" s="11">
        <v>1.352</v>
      </c>
      <c r="L28" s="11">
        <v>1.366</v>
      </c>
      <c r="M28" s="11">
        <v>1.327</v>
      </c>
      <c r="N28" s="11">
        <v>1.326</v>
      </c>
      <c r="O28" s="9">
        <v>600.0</v>
      </c>
    </row>
    <row r="29" ht="12.75" customHeight="1">
      <c r="B29" s="7" t="s">
        <v>30</v>
      </c>
      <c r="C29" s="12">
        <v>0.976</v>
      </c>
      <c r="D29" s="13">
        <v>1.06</v>
      </c>
      <c r="E29" s="13">
        <v>1.065</v>
      </c>
      <c r="F29" s="10">
        <v>1.402</v>
      </c>
      <c r="G29" s="11">
        <v>1.28</v>
      </c>
      <c r="H29" s="14">
        <v>1.25</v>
      </c>
      <c r="I29" s="10">
        <v>1.435</v>
      </c>
      <c r="J29" s="10">
        <v>1.426</v>
      </c>
      <c r="K29" s="10">
        <v>1.428</v>
      </c>
      <c r="L29" s="10">
        <v>1.405</v>
      </c>
      <c r="M29" s="10">
        <v>1.387</v>
      </c>
      <c r="N29" s="11">
        <v>1.358</v>
      </c>
      <c r="O29" s="9">
        <v>600.0</v>
      </c>
    </row>
    <row r="30" ht="12.75" customHeight="1">
      <c r="B30" s="7" t="s">
        <v>31</v>
      </c>
      <c r="C30" s="15">
        <v>0.285</v>
      </c>
      <c r="D30" s="16">
        <v>0.312</v>
      </c>
      <c r="E30" s="16">
        <v>0.336</v>
      </c>
      <c r="F30" s="8">
        <v>0.186</v>
      </c>
      <c r="G30" s="8">
        <v>0.176</v>
      </c>
      <c r="H30" s="8">
        <v>0.171</v>
      </c>
      <c r="I30" s="16">
        <v>0.381</v>
      </c>
      <c r="J30" s="15">
        <v>0.234</v>
      </c>
      <c r="K30" s="15">
        <v>0.285</v>
      </c>
      <c r="L30" s="17">
        <v>0.622</v>
      </c>
      <c r="M30" s="18">
        <v>0.486</v>
      </c>
      <c r="N30" s="19">
        <v>0.492</v>
      </c>
      <c r="O30" s="9">
        <v>600.0</v>
      </c>
    </row>
    <row r="31" ht="12.75" customHeight="1">
      <c r="B31" s="7" t="s">
        <v>32</v>
      </c>
      <c r="C31" s="8">
        <v>0.153</v>
      </c>
      <c r="D31" s="8">
        <v>0.166</v>
      </c>
      <c r="E31" s="8">
        <v>0.169</v>
      </c>
      <c r="F31" s="8">
        <v>0.108</v>
      </c>
      <c r="G31" s="8">
        <v>0.11</v>
      </c>
      <c r="H31" s="8">
        <v>0.109</v>
      </c>
      <c r="I31" s="8">
        <v>0.123</v>
      </c>
      <c r="J31" s="8">
        <v>0.115</v>
      </c>
      <c r="K31" s="8">
        <v>0.118</v>
      </c>
      <c r="L31" s="8">
        <v>0.175</v>
      </c>
      <c r="M31" s="8">
        <v>0.158</v>
      </c>
      <c r="N31" s="8">
        <v>0.162</v>
      </c>
      <c r="O31" s="9">
        <v>600.0</v>
      </c>
    </row>
    <row r="32" ht="12.75" customHeight="1">
      <c r="B32" s="7" t="s">
        <v>33</v>
      </c>
      <c r="C32" s="8">
        <v>0.111</v>
      </c>
      <c r="D32" s="8">
        <v>0.113</v>
      </c>
      <c r="E32" s="8">
        <v>0.11</v>
      </c>
      <c r="F32" s="8">
        <v>0.102</v>
      </c>
      <c r="G32" s="8">
        <v>0.103</v>
      </c>
      <c r="H32" s="8">
        <v>0.101</v>
      </c>
      <c r="I32" s="8">
        <v>0.105</v>
      </c>
      <c r="J32" s="8">
        <v>0.104</v>
      </c>
      <c r="K32" s="8">
        <v>0.104</v>
      </c>
      <c r="L32" s="8">
        <v>0.115</v>
      </c>
      <c r="M32" s="8">
        <v>0.114</v>
      </c>
      <c r="N32" s="8">
        <v>0.109</v>
      </c>
      <c r="O32" s="9">
        <v>600.0</v>
      </c>
    </row>
    <row r="33" ht="12.75" customHeight="1"/>
    <row r="34" ht="12.75" customHeight="1"/>
    <row r="35" ht="12.75" customHeight="1">
      <c r="C35" s="1">
        <f t="shared" ref="C35:N35" si="1">C26-$P$25</f>
        <v>1.323333333</v>
      </c>
      <c r="D35" s="1">
        <f t="shared" si="1"/>
        <v>1.305333333</v>
      </c>
      <c r="E35" s="1">
        <f t="shared" si="1"/>
        <v>1.312333333</v>
      </c>
      <c r="F35" s="1">
        <f t="shared" si="1"/>
        <v>1.307333333</v>
      </c>
      <c r="G35" s="1">
        <f t="shared" si="1"/>
        <v>1.297333333</v>
      </c>
      <c r="H35" s="1">
        <f t="shared" si="1"/>
        <v>1.296333333</v>
      </c>
      <c r="I35" s="1">
        <f t="shared" si="1"/>
        <v>1.358333333</v>
      </c>
      <c r="J35" s="1">
        <f t="shared" si="1"/>
        <v>1.346333333</v>
      </c>
      <c r="K35" s="1">
        <f t="shared" si="1"/>
        <v>1.334333333</v>
      </c>
      <c r="L35" s="1">
        <f t="shared" si="1"/>
        <v>1.334333333</v>
      </c>
      <c r="M35" s="1">
        <f t="shared" si="1"/>
        <v>1.319333333</v>
      </c>
      <c r="N35" s="1">
        <f t="shared" si="1"/>
        <v>1.300333333</v>
      </c>
    </row>
    <row r="36" ht="12.75" customHeight="1">
      <c r="C36" s="1">
        <f t="shared" ref="C36:N36" si="2">C27-$P$25</f>
        <v>1.296333333</v>
      </c>
      <c r="D36" s="1">
        <f t="shared" si="2"/>
        <v>1.309333333</v>
      </c>
      <c r="E36" s="1">
        <f t="shared" si="2"/>
        <v>1.332333333</v>
      </c>
      <c r="F36" s="1">
        <f t="shared" si="2"/>
        <v>1.315333333</v>
      </c>
      <c r="G36" s="1">
        <f t="shared" si="2"/>
        <v>1.313333333</v>
      </c>
      <c r="H36" s="1">
        <f t="shared" si="2"/>
        <v>1.307333333</v>
      </c>
      <c r="I36" s="1">
        <f t="shared" si="2"/>
        <v>1.363333333</v>
      </c>
      <c r="J36" s="1">
        <f t="shared" si="2"/>
        <v>1.360333333</v>
      </c>
      <c r="K36" s="1">
        <f t="shared" si="2"/>
        <v>1.339333333</v>
      </c>
      <c r="L36" s="1">
        <f t="shared" si="2"/>
        <v>1.331333333</v>
      </c>
      <c r="M36" s="1">
        <f t="shared" si="2"/>
        <v>1.327333333</v>
      </c>
      <c r="N36" s="1">
        <f t="shared" si="2"/>
        <v>1.316333333</v>
      </c>
    </row>
    <row r="37" ht="12.75" customHeight="1">
      <c r="C37" s="1">
        <f t="shared" ref="C37:N37" si="3">C28-$P$25</f>
        <v>1.223333333</v>
      </c>
      <c r="D37" s="1">
        <f t="shared" si="3"/>
        <v>1.268333333</v>
      </c>
      <c r="E37" s="1">
        <f t="shared" si="3"/>
        <v>1.264333333</v>
      </c>
      <c r="F37" s="1">
        <f t="shared" si="3"/>
        <v>1.258333333</v>
      </c>
      <c r="G37" s="1">
        <f t="shared" si="3"/>
        <v>1.243333333</v>
      </c>
      <c r="H37" s="1">
        <f t="shared" si="3"/>
        <v>1.244333333</v>
      </c>
      <c r="I37" s="1">
        <f t="shared" si="3"/>
        <v>1.243333333</v>
      </c>
      <c r="J37" s="1">
        <f t="shared" si="3"/>
        <v>1.241333333</v>
      </c>
      <c r="K37" s="1">
        <f t="shared" si="3"/>
        <v>1.250333333</v>
      </c>
      <c r="L37" s="1">
        <f t="shared" si="3"/>
        <v>1.264333333</v>
      </c>
      <c r="M37" s="1">
        <f t="shared" si="3"/>
        <v>1.225333333</v>
      </c>
      <c r="N37" s="1">
        <f t="shared" si="3"/>
        <v>1.224333333</v>
      </c>
    </row>
    <row r="38" ht="12.75" customHeight="1">
      <c r="C38" s="1">
        <f t="shared" ref="C38:N38" si="4">C29-$P$25</f>
        <v>0.8743333333</v>
      </c>
      <c r="D38" s="1">
        <f t="shared" si="4"/>
        <v>0.9583333333</v>
      </c>
      <c r="E38" s="1">
        <f t="shared" si="4"/>
        <v>0.9633333333</v>
      </c>
      <c r="F38" s="1">
        <f t="shared" si="4"/>
        <v>1.300333333</v>
      </c>
      <c r="G38" s="1">
        <f t="shared" si="4"/>
        <v>1.178333333</v>
      </c>
      <c r="H38" s="1">
        <f t="shared" si="4"/>
        <v>1.148333333</v>
      </c>
      <c r="I38" s="1">
        <f t="shared" si="4"/>
        <v>1.333333333</v>
      </c>
      <c r="J38" s="1">
        <f t="shared" si="4"/>
        <v>1.324333333</v>
      </c>
      <c r="K38" s="1">
        <f t="shared" si="4"/>
        <v>1.326333333</v>
      </c>
      <c r="L38" s="1">
        <f t="shared" si="4"/>
        <v>1.303333333</v>
      </c>
      <c r="M38" s="1">
        <f t="shared" si="4"/>
        <v>1.285333333</v>
      </c>
      <c r="N38" s="1">
        <f t="shared" si="4"/>
        <v>1.256333333</v>
      </c>
    </row>
    <row r="39" ht="12.75" customHeight="1">
      <c r="C39" s="1">
        <f t="shared" ref="C39:N39" si="5">C30-$P$25</f>
        <v>0.1833333333</v>
      </c>
      <c r="D39" s="1">
        <f t="shared" si="5"/>
        <v>0.2103333333</v>
      </c>
      <c r="E39" s="1">
        <f t="shared" si="5"/>
        <v>0.2343333333</v>
      </c>
      <c r="F39" s="1">
        <f t="shared" si="5"/>
        <v>0.08433333333</v>
      </c>
      <c r="G39" s="1">
        <f t="shared" si="5"/>
        <v>0.07433333333</v>
      </c>
      <c r="H39" s="1">
        <f t="shared" si="5"/>
        <v>0.06933333333</v>
      </c>
      <c r="I39" s="1">
        <f t="shared" si="5"/>
        <v>0.2793333333</v>
      </c>
      <c r="J39" s="1">
        <f t="shared" si="5"/>
        <v>0.1323333333</v>
      </c>
      <c r="K39" s="1">
        <f t="shared" si="5"/>
        <v>0.1833333333</v>
      </c>
      <c r="L39" s="1">
        <f t="shared" si="5"/>
        <v>0.5203333333</v>
      </c>
      <c r="M39" s="1">
        <f t="shared" si="5"/>
        <v>0.3843333333</v>
      </c>
      <c r="N39" s="1">
        <f t="shared" si="5"/>
        <v>0.3903333333</v>
      </c>
    </row>
    <row r="40" ht="12.75" customHeight="1">
      <c r="C40" s="1">
        <f t="shared" ref="C40:N40" si="6">C31-$P$25</f>
        <v>0.05133333333</v>
      </c>
      <c r="D40" s="1">
        <f t="shared" si="6"/>
        <v>0.06433333333</v>
      </c>
      <c r="E40" s="1">
        <f t="shared" si="6"/>
        <v>0.06733333333</v>
      </c>
      <c r="F40" s="1">
        <f t="shared" si="6"/>
        <v>0.006333333333</v>
      </c>
      <c r="G40" s="1">
        <f t="shared" si="6"/>
        <v>0.008333333333</v>
      </c>
      <c r="H40" s="1">
        <f t="shared" si="6"/>
        <v>0.007333333333</v>
      </c>
      <c r="I40" s="1">
        <f t="shared" si="6"/>
        <v>0.02133333333</v>
      </c>
      <c r="J40" s="1">
        <f t="shared" si="6"/>
        <v>0.01333333333</v>
      </c>
      <c r="K40" s="1">
        <f t="shared" si="6"/>
        <v>0.01633333333</v>
      </c>
      <c r="L40" s="1">
        <f t="shared" si="6"/>
        <v>0.07333333333</v>
      </c>
      <c r="M40" s="1">
        <f t="shared" si="6"/>
        <v>0.05633333333</v>
      </c>
      <c r="N40" s="1">
        <f t="shared" si="6"/>
        <v>0.06033333333</v>
      </c>
    </row>
    <row r="41" ht="12.75" customHeight="1">
      <c r="C41" s="1">
        <f t="shared" ref="C41:N41" si="7">C32-$P$25</f>
        <v>0.009333333333</v>
      </c>
      <c r="D41" s="1">
        <f t="shared" si="7"/>
        <v>0.01133333333</v>
      </c>
      <c r="E41" s="1">
        <f t="shared" si="7"/>
        <v>0.008333333333</v>
      </c>
      <c r="F41" s="1">
        <f t="shared" si="7"/>
        <v>0.0003333333333</v>
      </c>
      <c r="G41" s="1">
        <f t="shared" si="7"/>
        <v>0.001333333333</v>
      </c>
      <c r="H41" s="1">
        <f t="shared" si="7"/>
        <v>-0.0006666666667</v>
      </c>
      <c r="I41" s="1">
        <f t="shared" si="7"/>
        <v>0.003333333333</v>
      </c>
      <c r="J41" s="1">
        <f t="shared" si="7"/>
        <v>0.002333333333</v>
      </c>
      <c r="K41" s="1">
        <f t="shared" si="7"/>
        <v>0.002333333333</v>
      </c>
      <c r="L41" s="1">
        <f t="shared" si="7"/>
        <v>0.01333333333</v>
      </c>
      <c r="M41" s="1">
        <f t="shared" si="7"/>
        <v>0.01233333333</v>
      </c>
      <c r="N41" s="1">
        <f t="shared" si="7"/>
        <v>0.007333333333</v>
      </c>
    </row>
    <row r="42" ht="12.75" customHeight="1"/>
    <row r="43" ht="12.75" customHeight="1">
      <c r="C43" s="20">
        <v>2868.0</v>
      </c>
      <c r="D43" s="20" t="s">
        <v>34</v>
      </c>
      <c r="E43" s="20" t="s">
        <v>35</v>
      </c>
      <c r="F43" s="20">
        <v>2875.0</v>
      </c>
      <c r="G43" s="20" t="s">
        <v>36</v>
      </c>
      <c r="H43" s="20" t="s">
        <v>37</v>
      </c>
      <c r="I43" s="1">
        <v>2876.0</v>
      </c>
      <c r="J43" s="20" t="s">
        <v>38</v>
      </c>
      <c r="K43" s="20" t="s">
        <v>34</v>
      </c>
      <c r="L43" s="20">
        <v>5192.0</v>
      </c>
      <c r="M43" s="21" t="s">
        <v>38</v>
      </c>
      <c r="N43" s="21" t="s">
        <v>39</v>
      </c>
    </row>
    <row r="44" ht="12.75" customHeight="1">
      <c r="C44" s="1">
        <f t="shared" ref="C44:C50" si="8">C35/$C$35</f>
        <v>1</v>
      </c>
      <c r="D44" s="1">
        <f t="shared" ref="D44:D50" si="9">D35/$D$35</f>
        <v>1</v>
      </c>
      <c r="E44" s="1">
        <f t="shared" ref="E44:E50" si="10">E35/$E$35</f>
        <v>1</v>
      </c>
      <c r="F44" s="1">
        <f t="shared" ref="F44:F50" si="11">F35/$F$35</f>
        <v>1</v>
      </c>
      <c r="G44" s="1">
        <f t="shared" ref="G44:G50" si="12">G35/$G$35</f>
        <v>1</v>
      </c>
      <c r="H44" s="1">
        <f t="shared" ref="H44:H50" si="13">H35/$H$35</f>
        <v>1</v>
      </c>
      <c r="I44" s="1">
        <f t="shared" ref="I44:I50" si="14">I35/$I$35</f>
        <v>1</v>
      </c>
      <c r="J44" s="1">
        <f t="shared" ref="J44:J50" si="15">J35/$J$35</f>
        <v>1</v>
      </c>
      <c r="K44" s="1">
        <f t="shared" ref="K44:K50" si="16">K35/$K$35</f>
        <v>1</v>
      </c>
      <c r="L44" s="1">
        <f t="shared" ref="L44:L50" si="17">L35/$L$35</f>
        <v>1</v>
      </c>
      <c r="M44" s="1">
        <f t="shared" ref="M44:M50" si="18">M35/$M$35</f>
        <v>1</v>
      </c>
      <c r="N44" s="1">
        <f t="shared" ref="N44:N50" si="19">N35/$N$35</f>
        <v>1</v>
      </c>
      <c r="P44" s="22" t="s">
        <v>40</v>
      </c>
      <c r="Q44" s="20">
        <v>2868.0</v>
      </c>
      <c r="R44" s="20" t="s">
        <v>34</v>
      </c>
      <c r="S44" s="20" t="s">
        <v>35</v>
      </c>
      <c r="T44" s="20">
        <v>2875.0</v>
      </c>
      <c r="U44" s="20" t="s">
        <v>36</v>
      </c>
      <c r="V44" s="20" t="s">
        <v>37</v>
      </c>
      <c r="W44" s="1">
        <v>2876.0</v>
      </c>
      <c r="X44" s="20" t="s">
        <v>38</v>
      </c>
      <c r="Y44" s="20" t="s">
        <v>34</v>
      </c>
      <c r="Z44" s="20">
        <v>5192.0</v>
      </c>
      <c r="AA44" s="21" t="s">
        <v>38</v>
      </c>
      <c r="AB44" s="21" t="s">
        <v>39</v>
      </c>
    </row>
    <row r="45" ht="12.75" customHeight="1">
      <c r="C45" s="1">
        <f t="shared" si="8"/>
        <v>0.9795969773</v>
      </c>
      <c r="D45" s="1">
        <f t="shared" si="9"/>
        <v>1.003064351</v>
      </c>
      <c r="E45" s="1">
        <f t="shared" si="10"/>
        <v>1.01524003</v>
      </c>
      <c r="F45" s="1">
        <f t="shared" si="11"/>
        <v>1.006119327</v>
      </c>
      <c r="G45" s="1">
        <f t="shared" si="12"/>
        <v>1.012332991</v>
      </c>
      <c r="H45" s="1">
        <f t="shared" si="13"/>
        <v>1.008485472</v>
      </c>
      <c r="I45" s="1">
        <f t="shared" si="14"/>
        <v>1.003680982</v>
      </c>
      <c r="J45" s="1">
        <f t="shared" si="15"/>
        <v>1.010398614</v>
      </c>
      <c r="K45" s="1">
        <f t="shared" si="16"/>
        <v>1.00374719</v>
      </c>
      <c r="L45" s="1">
        <f t="shared" si="17"/>
        <v>0.9977516862</v>
      </c>
      <c r="M45" s="1">
        <f t="shared" si="18"/>
        <v>1.006063669</v>
      </c>
      <c r="N45" s="1">
        <f t="shared" si="19"/>
        <v>1.012304537</v>
      </c>
      <c r="P45" s="22" t="s">
        <v>41</v>
      </c>
      <c r="Q45" s="1">
        <f t="shared" ref="Q45:AB45" si="20">AVERAGE(C44,C53,C62)</f>
        <v>1</v>
      </c>
      <c r="R45" s="1">
        <f t="shared" si="20"/>
        <v>1</v>
      </c>
      <c r="S45" s="1">
        <f t="shared" si="20"/>
        <v>1</v>
      </c>
      <c r="T45" s="1">
        <f t="shared" si="20"/>
        <v>1</v>
      </c>
      <c r="U45" s="1">
        <f t="shared" si="20"/>
        <v>1</v>
      </c>
      <c r="V45" s="1">
        <f t="shared" si="20"/>
        <v>1</v>
      </c>
      <c r="W45" s="1">
        <f t="shared" si="20"/>
        <v>1</v>
      </c>
      <c r="X45" s="1">
        <f t="shared" si="20"/>
        <v>1</v>
      </c>
      <c r="Y45" s="1">
        <f t="shared" si="20"/>
        <v>1</v>
      </c>
      <c r="Z45" s="1">
        <f t="shared" si="20"/>
        <v>1</v>
      </c>
      <c r="AA45" s="1">
        <f t="shared" si="20"/>
        <v>1</v>
      </c>
      <c r="AB45" s="1">
        <f t="shared" si="20"/>
        <v>1</v>
      </c>
    </row>
    <row r="46" ht="12.75" customHeight="1">
      <c r="C46" s="1">
        <f t="shared" si="8"/>
        <v>0.9244332494</v>
      </c>
      <c r="D46" s="1">
        <f t="shared" si="9"/>
        <v>0.9716547497</v>
      </c>
      <c r="E46" s="1">
        <f t="shared" si="10"/>
        <v>0.9634239268</v>
      </c>
      <c r="F46" s="1">
        <f t="shared" si="11"/>
        <v>0.9625191229</v>
      </c>
      <c r="G46" s="1">
        <f t="shared" si="12"/>
        <v>0.9583761562</v>
      </c>
      <c r="H46" s="1">
        <f t="shared" si="13"/>
        <v>0.9598868604</v>
      </c>
      <c r="I46" s="1">
        <f t="shared" si="14"/>
        <v>0.9153374233</v>
      </c>
      <c r="J46" s="1">
        <f t="shared" si="15"/>
        <v>0.9220103986</v>
      </c>
      <c r="K46" s="1">
        <f t="shared" si="16"/>
        <v>0.9370472146</v>
      </c>
      <c r="L46" s="1">
        <f t="shared" si="17"/>
        <v>0.9475393455</v>
      </c>
      <c r="M46" s="1">
        <f t="shared" si="18"/>
        <v>0.9287518949</v>
      </c>
      <c r="N46" s="1">
        <f t="shared" si="19"/>
        <v>0.9415534478</v>
      </c>
      <c r="P46" s="23">
        <v>5.0E-5</v>
      </c>
      <c r="Q46" s="1">
        <f t="shared" ref="Q46:AB46" si="21">AVERAGE(C45,C54,C63)</f>
        <v>0.9822526379</v>
      </c>
      <c r="R46" s="1">
        <f t="shared" si="21"/>
        <v>1.007196429</v>
      </c>
      <c r="S46" s="1">
        <f t="shared" si="21"/>
        <v>1.000279557</v>
      </c>
      <c r="T46" s="1">
        <f t="shared" si="21"/>
        <v>0.9942281705</v>
      </c>
      <c r="U46" s="1">
        <f t="shared" si="21"/>
        <v>0.9894016391</v>
      </c>
      <c r="V46" s="1">
        <f t="shared" si="21"/>
        <v>0.9938975298</v>
      </c>
      <c r="W46" s="1">
        <f t="shared" si="21"/>
        <v>0.9897340942</v>
      </c>
      <c r="X46" s="1">
        <f t="shared" si="21"/>
        <v>1.000906632</v>
      </c>
      <c r="Y46" s="1">
        <f t="shared" si="21"/>
        <v>1.001648472</v>
      </c>
      <c r="Z46" s="1">
        <f t="shared" si="21"/>
        <v>1.002314131</v>
      </c>
      <c r="AA46" s="1">
        <f t="shared" si="21"/>
        <v>0.9985387443</v>
      </c>
      <c r="AB46" s="1">
        <f t="shared" si="21"/>
        <v>1.010964152</v>
      </c>
    </row>
    <row r="47" ht="12.75" customHeight="1">
      <c r="C47" s="1">
        <f t="shared" si="8"/>
        <v>0.6607052897</v>
      </c>
      <c r="D47" s="1">
        <f t="shared" si="9"/>
        <v>0.7341675179</v>
      </c>
      <c r="E47" s="1">
        <f t="shared" si="10"/>
        <v>0.7340614681</v>
      </c>
      <c r="F47" s="1">
        <f t="shared" si="11"/>
        <v>0.994645589</v>
      </c>
      <c r="G47" s="1">
        <f t="shared" si="12"/>
        <v>0.9082733813</v>
      </c>
      <c r="H47" s="1">
        <f t="shared" si="13"/>
        <v>0.8858318334</v>
      </c>
      <c r="I47" s="1">
        <f t="shared" si="14"/>
        <v>0.981595092</v>
      </c>
      <c r="J47" s="1">
        <f t="shared" si="15"/>
        <v>0.9836593216</v>
      </c>
      <c r="K47" s="1">
        <f t="shared" si="16"/>
        <v>0.9940044966</v>
      </c>
      <c r="L47" s="1">
        <f t="shared" si="17"/>
        <v>0.9767674244</v>
      </c>
      <c r="M47" s="1">
        <f t="shared" si="18"/>
        <v>0.9742294088</v>
      </c>
      <c r="N47" s="1">
        <f t="shared" si="19"/>
        <v>0.9661625224</v>
      </c>
      <c r="P47" s="24">
        <v>1.0E-4</v>
      </c>
      <c r="Q47" s="1">
        <f t="shared" ref="Q47:AB47" si="22">AVERAGE(C46,C55,C64)</f>
        <v>0.9557204085</v>
      </c>
      <c r="R47" s="1">
        <f t="shared" si="22"/>
        <v>0.9802010748</v>
      </c>
      <c r="S47" s="1">
        <f t="shared" si="22"/>
        <v>0.970597196</v>
      </c>
      <c r="T47" s="1">
        <f t="shared" si="22"/>
        <v>0.981985627</v>
      </c>
      <c r="U47" s="1">
        <f t="shared" si="22"/>
        <v>0.9797963458</v>
      </c>
      <c r="V47" s="1">
        <f t="shared" si="22"/>
        <v>0.9784532029</v>
      </c>
      <c r="W47" s="1">
        <f t="shared" si="22"/>
        <v>0.9665364107</v>
      </c>
      <c r="X47" s="1">
        <f t="shared" si="22"/>
        <v>0.9742021283</v>
      </c>
      <c r="Y47" s="1">
        <f t="shared" si="22"/>
        <v>0.9712244789</v>
      </c>
      <c r="Z47" s="1">
        <f t="shared" si="22"/>
        <v>0.9949602369</v>
      </c>
      <c r="AA47" s="1">
        <f t="shared" si="22"/>
        <v>0.9734475394</v>
      </c>
      <c r="AB47" s="1">
        <f t="shared" si="22"/>
        <v>0.9816430254</v>
      </c>
    </row>
    <row r="48" ht="12.75" customHeight="1">
      <c r="C48" s="1">
        <f t="shared" si="8"/>
        <v>0.1385390428</v>
      </c>
      <c r="D48" s="1">
        <f t="shared" si="9"/>
        <v>0.16113381</v>
      </c>
      <c r="E48" s="1">
        <f t="shared" si="10"/>
        <v>0.1785623571</v>
      </c>
      <c r="F48" s="1">
        <f t="shared" si="11"/>
        <v>0.06450790413</v>
      </c>
      <c r="G48" s="1">
        <f t="shared" si="12"/>
        <v>0.05729701953</v>
      </c>
      <c r="H48" s="1">
        <f t="shared" si="13"/>
        <v>0.05348418617</v>
      </c>
      <c r="I48" s="1">
        <f t="shared" si="14"/>
        <v>0.2056441718</v>
      </c>
      <c r="J48" s="1">
        <f t="shared" si="15"/>
        <v>0.09829165635</v>
      </c>
      <c r="K48" s="1">
        <f t="shared" si="16"/>
        <v>0.1373969523</v>
      </c>
      <c r="L48" s="1">
        <f t="shared" si="17"/>
        <v>0.3899575319</v>
      </c>
      <c r="M48" s="1">
        <f t="shared" si="18"/>
        <v>0.2913087418</v>
      </c>
      <c r="N48" s="1">
        <f t="shared" si="19"/>
        <v>0.3001794412</v>
      </c>
      <c r="P48" s="24">
        <v>2.0E-4</v>
      </c>
      <c r="Q48" s="1">
        <f t="shared" ref="Q48:AB48" si="23">AVERAGE(C47,C56,C65)</f>
        <v>0.725187761</v>
      </c>
      <c r="R48" s="1">
        <f t="shared" si="23"/>
        <v>0.8090133518</v>
      </c>
      <c r="S48" s="1">
        <f t="shared" si="23"/>
        <v>0.8151444014</v>
      </c>
      <c r="T48" s="1">
        <f t="shared" si="23"/>
        <v>0.9895017161</v>
      </c>
      <c r="U48" s="1">
        <f t="shared" si="23"/>
        <v>0.9228385222</v>
      </c>
      <c r="V48" s="1">
        <f t="shared" si="23"/>
        <v>0.9220860182</v>
      </c>
      <c r="W48" s="1">
        <f t="shared" si="23"/>
        <v>0.9856263565</v>
      </c>
      <c r="X48" s="1">
        <f t="shared" si="23"/>
        <v>0.9956121773</v>
      </c>
      <c r="Y48" s="1">
        <f t="shared" si="23"/>
        <v>0.9940082471</v>
      </c>
      <c r="Z48" s="1">
        <f t="shared" si="23"/>
        <v>1.00056996</v>
      </c>
      <c r="AA48" s="1">
        <f t="shared" si="23"/>
        <v>0.9807807881</v>
      </c>
      <c r="AB48" s="1">
        <f t="shared" si="23"/>
        <v>0.9871738175</v>
      </c>
    </row>
    <row r="49" ht="12.75" customHeight="1">
      <c r="C49" s="1">
        <f t="shared" si="8"/>
        <v>0.03879093199</v>
      </c>
      <c r="D49" s="1">
        <f t="shared" si="9"/>
        <v>0.04928498468</v>
      </c>
      <c r="E49" s="1">
        <f t="shared" si="10"/>
        <v>0.05130810262</v>
      </c>
      <c r="F49" s="1">
        <f t="shared" si="11"/>
        <v>0.004844467109</v>
      </c>
      <c r="G49" s="1">
        <f t="shared" si="12"/>
        <v>0.006423432682</v>
      </c>
      <c r="H49" s="1">
        <f t="shared" si="13"/>
        <v>0.005656981229</v>
      </c>
      <c r="I49" s="1">
        <f t="shared" si="14"/>
        <v>0.01570552147</v>
      </c>
      <c r="J49" s="1">
        <f t="shared" si="15"/>
        <v>0.009903441446</v>
      </c>
      <c r="K49" s="1">
        <f t="shared" si="16"/>
        <v>0.01224081939</v>
      </c>
      <c r="L49" s="1">
        <f t="shared" si="17"/>
        <v>0.05495878091</v>
      </c>
      <c r="M49" s="1">
        <f t="shared" si="18"/>
        <v>0.04269833249</v>
      </c>
      <c r="N49" s="1">
        <f t="shared" si="19"/>
        <v>0.0463983594</v>
      </c>
      <c r="P49" s="24">
        <v>4.0E-4</v>
      </c>
      <c r="Q49" s="1">
        <f t="shared" ref="Q49:AB49" si="24">AVERAGE(C48,C57,C66)</f>
        <v>0.1469316062</v>
      </c>
      <c r="R49" s="1">
        <f t="shared" si="24"/>
        <v>0.1904400044</v>
      </c>
      <c r="S49" s="1">
        <f t="shared" si="24"/>
        <v>0.1902576869</v>
      </c>
      <c r="T49" s="1">
        <f t="shared" si="24"/>
        <v>0.07675873299</v>
      </c>
      <c r="U49" s="1">
        <f t="shared" si="24"/>
        <v>0.06908014048</v>
      </c>
      <c r="V49" s="1">
        <f t="shared" si="24"/>
        <v>0.05455434261</v>
      </c>
      <c r="W49" s="1">
        <f t="shared" si="24"/>
        <v>0.2501115871</v>
      </c>
      <c r="X49" s="1">
        <f t="shared" si="24"/>
        <v>0.1195217218</v>
      </c>
      <c r="Y49" s="1">
        <f t="shared" si="24"/>
        <v>0.1677744898</v>
      </c>
      <c r="Z49" s="1">
        <f t="shared" si="24"/>
        <v>0.4314069441</v>
      </c>
      <c r="AA49" s="1">
        <f t="shared" si="24"/>
        <v>0.3332855379</v>
      </c>
      <c r="AB49" s="1">
        <f t="shared" si="24"/>
        <v>0.355251069</v>
      </c>
    </row>
    <row r="50" ht="12.75" customHeight="1">
      <c r="C50" s="1">
        <f t="shared" si="8"/>
        <v>0.007052896725</v>
      </c>
      <c r="D50" s="1">
        <f t="shared" si="9"/>
        <v>0.008682328907</v>
      </c>
      <c r="E50" s="1">
        <f t="shared" si="10"/>
        <v>0.0063500127</v>
      </c>
      <c r="F50" s="1">
        <f t="shared" si="11"/>
        <v>0.0002549719531</v>
      </c>
      <c r="G50" s="1">
        <f t="shared" si="12"/>
        <v>0.001027749229</v>
      </c>
      <c r="H50" s="1">
        <f t="shared" si="13"/>
        <v>-0.0005142710208</v>
      </c>
      <c r="I50" s="1">
        <f t="shared" si="14"/>
        <v>0.00245398773</v>
      </c>
      <c r="J50" s="1">
        <f t="shared" si="15"/>
        <v>0.001733102253</v>
      </c>
      <c r="K50" s="1">
        <f t="shared" si="16"/>
        <v>0.001748688484</v>
      </c>
      <c r="L50" s="1">
        <f t="shared" si="17"/>
        <v>0.009992505621</v>
      </c>
      <c r="M50" s="1">
        <f t="shared" si="18"/>
        <v>0.009348155634</v>
      </c>
      <c r="N50" s="1">
        <f t="shared" si="19"/>
        <v>0.005639579595</v>
      </c>
      <c r="P50" s="24">
        <v>8.0E-4</v>
      </c>
      <c r="Q50" s="1">
        <f t="shared" ref="Q50:AB50" si="25">AVERAGE(C49,C58,C67)</f>
        <v>0.04439583504</v>
      </c>
      <c r="R50" s="1">
        <f t="shared" si="25"/>
        <v>0.06054627856</v>
      </c>
      <c r="S50" s="1">
        <f t="shared" si="25"/>
        <v>0.06279371663</v>
      </c>
      <c r="T50" s="1">
        <f t="shared" si="25"/>
        <v>0.00580494623</v>
      </c>
      <c r="U50" s="1">
        <f t="shared" si="25"/>
        <v>0.007096602341</v>
      </c>
      <c r="V50" s="1">
        <f t="shared" si="25"/>
        <v>0.005339115964</v>
      </c>
      <c r="W50" s="1">
        <f t="shared" si="25"/>
        <v>0.01958694163</v>
      </c>
      <c r="X50" s="1">
        <f t="shared" si="25"/>
        <v>0.01178328429</v>
      </c>
      <c r="Y50" s="1">
        <f t="shared" si="25"/>
        <v>0.01557246666</v>
      </c>
      <c r="Z50" s="1">
        <f t="shared" si="25"/>
        <v>0.06697259003</v>
      </c>
      <c r="AA50" s="1">
        <f t="shared" si="25"/>
        <v>0.0619858454</v>
      </c>
      <c r="AB50" s="1">
        <f t="shared" si="25"/>
        <v>0.06314217999</v>
      </c>
    </row>
    <row r="51" ht="12.75" customHeight="1">
      <c r="P51" s="24">
        <v>0.0016</v>
      </c>
      <c r="Q51" s="1">
        <f t="shared" ref="Q51:AB51" si="26">AVERAGE(C50,C59,C68)</f>
        <v>0.009613981115</v>
      </c>
      <c r="R51" s="1">
        <f t="shared" si="26"/>
        <v>0.01279275169</v>
      </c>
      <c r="S51" s="1">
        <f t="shared" si="26"/>
        <v>0.009074060135</v>
      </c>
      <c r="T51" s="1">
        <f t="shared" si="26"/>
        <v>0.001215420138</v>
      </c>
      <c r="U51" s="1">
        <f t="shared" si="26"/>
        <v>0.001484598656</v>
      </c>
      <c r="V51" s="1">
        <f t="shared" si="26"/>
        <v>0.0002104129583</v>
      </c>
      <c r="W51" s="1">
        <f t="shared" si="26"/>
        <v>0.004438009015</v>
      </c>
      <c r="X51" s="1">
        <f t="shared" si="26"/>
        <v>0.002455891402</v>
      </c>
      <c r="Y51" s="1">
        <f t="shared" si="26"/>
        <v>0.002723794566</v>
      </c>
      <c r="Z51" s="1">
        <f t="shared" si="26"/>
        <v>0.01123972063</v>
      </c>
      <c r="AA51" s="1">
        <f t="shared" si="26"/>
        <v>0.0122572329</v>
      </c>
      <c r="AB51" s="1">
        <f t="shared" si="26"/>
        <v>0.007532999045</v>
      </c>
    </row>
    <row r="52" ht="12.75" customHeight="1"/>
    <row r="53" ht="12.75" customHeight="1">
      <c r="C53" s="1">
        <v>1.0</v>
      </c>
      <c r="D53" s="1">
        <v>1.0</v>
      </c>
      <c r="E53" s="1">
        <v>1.0</v>
      </c>
      <c r="F53" s="1">
        <v>1.0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>
        <v>1.0</v>
      </c>
      <c r="N53" s="1">
        <v>1.0</v>
      </c>
    </row>
    <row r="54" ht="12.75" customHeight="1">
      <c r="C54" s="1">
        <v>0.9778738555442522</v>
      </c>
      <c r="D54" s="1">
        <v>1.0030310684516293</v>
      </c>
      <c r="E54" s="1">
        <v>1.0098809222194072</v>
      </c>
      <c r="F54" s="1">
        <v>1.0023065094823167</v>
      </c>
      <c r="G54" s="1">
        <v>0.9977023232065357</v>
      </c>
      <c r="H54" s="1">
        <v>1.0076942805847653</v>
      </c>
      <c r="I54" s="1">
        <v>1.012718204488778</v>
      </c>
      <c r="J54" s="1">
        <v>1.0425148157691317</v>
      </c>
      <c r="K54" s="1">
        <v>1.034359888012217</v>
      </c>
      <c r="L54" s="1">
        <v>1.0091907071738575</v>
      </c>
      <c r="M54" s="1">
        <v>1.0493761614016457</v>
      </c>
      <c r="N54" s="1">
        <v>1.0520138703654307</v>
      </c>
      <c r="Q54" s="25"/>
    </row>
    <row r="55" ht="12.75" customHeight="1">
      <c r="C55" s="1">
        <v>0.9595625635808749</v>
      </c>
      <c r="D55" s="1">
        <v>0.9681737812578933</v>
      </c>
      <c r="E55" s="1">
        <v>0.9802381555611857</v>
      </c>
      <c r="F55" s="1">
        <v>1.0061506919528447</v>
      </c>
      <c r="G55" s="1">
        <v>1.0038294613224408</v>
      </c>
      <c r="H55" s="1">
        <v>0.9992305719415235</v>
      </c>
      <c r="I55" s="1">
        <v>0.9970074812967581</v>
      </c>
      <c r="J55" s="1">
        <v>1.0193249162586964</v>
      </c>
      <c r="K55" s="1">
        <v>0.9992364469330619</v>
      </c>
      <c r="L55" s="1">
        <v>1.0091907071738575</v>
      </c>
      <c r="M55" s="1">
        <v>1.0215025219007168</v>
      </c>
      <c r="N55" s="1">
        <v>1.0128034142437983</v>
      </c>
      <c r="Q55" s="25"/>
    </row>
    <row r="56" ht="12.75" customHeight="1">
      <c r="C56" s="1">
        <v>0.7390640895218717</v>
      </c>
      <c r="D56" s="1">
        <v>0.8075271533215458</v>
      </c>
      <c r="E56" s="1">
        <v>0.8320243222700786</v>
      </c>
      <c r="F56" s="1">
        <v>0.97385955920041</v>
      </c>
      <c r="G56" s="1">
        <v>0.9172836354352822</v>
      </c>
      <c r="H56" s="1">
        <v>0.9953834316491408</v>
      </c>
      <c r="I56" s="1">
        <v>0.9955112219451372</v>
      </c>
      <c r="J56" s="1">
        <v>1.0301468693635663</v>
      </c>
      <c r="K56" s="1">
        <v>1.0061084245355052</v>
      </c>
      <c r="L56" s="1">
        <v>1.0038294613224408</v>
      </c>
      <c r="M56" s="1">
        <v>0.9880541544996017</v>
      </c>
      <c r="N56" s="1">
        <v>1.004001066951187</v>
      </c>
      <c r="Q56" s="25"/>
    </row>
    <row r="57" ht="12.75" customHeight="1">
      <c r="C57" s="1">
        <v>0.1309766022380468</v>
      </c>
      <c r="D57" s="1">
        <v>0.17403384693104323</v>
      </c>
      <c r="E57" s="1">
        <v>0.17000253356979989</v>
      </c>
      <c r="F57" s="1">
        <v>0.07201435161455665</v>
      </c>
      <c r="G57" s="1">
        <v>0.07097268317589994</v>
      </c>
      <c r="H57" s="1">
        <v>0.05129520389843551</v>
      </c>
      <c r="I57" s="1">
        <v>0.2339152119700748</v>
      </c>
      <c r="J57" s="1">
        <v>0.11955681525380059</v>
      </c>
      <c r="K57" s="1">
        <v>0.17612624077373382</v>
      </c>
      <c r="L57" s="1">
        <v>0.4508552463620118</v>
      </c>
      <c r="M57" s="1">
        <v>0.33899654897796655</v>
      </c>
      <c r="N57" s="1">
        <v>0.3862363296879167</v>
      </c>
      <c r="Q57" s="25"/>
    </row>
    <row r="58" ht="12.75" customHeight="1">
      <c r="C58" s="1">
        <v>0.036368260427263474</v>
      </c>
      <c r="D58" s="1">
        <v>0.05733771154331902</v>
      </c>
      <c r="E58" s="1">
        <v>0.06435267291613884</v>
      </c>
      <c r="F58" s="1">
        <v>0.005125576627370581</v>
      </c>
      <c r="G58" s="1">
        <v>0.005105948429920859</v>
      </c>
      <c r="H58" s="1">
        <v>0.003590664272890485</v>
      </c>
      <c r="I58" s="1">
        <v>0.015461346633416459</v>
      </c>
      <c r="J58" s="1">
        <v>0.011337284205101786</v>
      </c>
      <c r="K58" s="1">
        <v>0.014252990582845508</v>
      </c>
      <c r="L58" s="1">
        <v>0.06867500638243555</v>
      </c>
      <c r="M58" s="1">
        <v>0.0682240509689408</v>
      </c>
      <c r="N58" s="1">
        <v>0.06695118698319552</v>
      </c>
      <c r="Q58" s="25"/>
    </row>
    <row r="59" ht="12.75" customHeight="1">
      <c r="C59" s="1">
        <v>0.006612410986775181</v>
      </c>
      <c r="D59" s="1">
        <v>0.005809547865622634</v>
      </c>
      <c r="E59" s="1">
        <v>0.0027869267798327838</v>
      </c>
      <c r="F59" s="1">
        <v>-0.0010251153254741097</v>
      </c>
      <c r="G59" s="1">
        <v>5.105948429920828E-4</v>
      </c>
      <c r="H59" s="1">
        <v>-0.0010259040779687038</v>
      </c>
      <c r="I59" s="1">
        <v>0.0019950124688279283</v>
      </c>
      <c r="J59" s="1">
        <v>5.15331100231896E-4</v>
      </c>
      <c r="K59" s="1">
        <v>0.001272588444896918</v>
      </c>
      <c r="L59" s="1">
        <v>0.005871840694408988</v>
      </c>
      <c r="M59" s="1">
        <v>0.005309264666843643</v>
      </c>
      <c r="N59" s="1">
        <v>0.003734329154441184</v>
      </c>
      <c r="Q59" s="25"/>
    </row>
    <row r="60" ht="12.75" customHeight="1">
      <c r="Q60" s="25"/>
    </row>
    <row r="61" ht="12.75" customHeight="1">
      <c r="Q61" s="25"/>
    </row>
    <row r="62" ht="12.75" customHeight="1">
      <c r="C62" s="1">
        <v>1.0</v>
      </c>
      <c r="D62" s="1">
        <v>1.0</v>
      </c>
      <c r="E62" s="1">
        <v>1.0</v>
      </c>
      <c r="F62" s="1">
        <v>1.0</v>
      </c>
      <c r="G62" s="1">
        <v>1.0</v>
      </c>
      <c r="H62" s="1">
        <v>1.0</v>
      </c>
      <c r="I62" s="1">
        <v>1.0</v>
      </c>
      <c r="J62" s="1">
        <v>1.0</v>
      </c>
      <c r="K62" s="1">
        <v>1.0</v>
      </c>
      <c r="L62" s="1">
        <v>1.0</v>
      </c>
      <c r="M62" s="1">
        <v>1.0</v>
      </c>
      <c r="N62" s="1">
        <v>1.0</v>
      </c>
      <c r="Q62" s="25"/>
    </row>
    <row r="63" ht="12.75" customHeight="1">
      <c r="C63" s="1">
        <v>0.9892870807294988</v>
      </c>
      <c r="D63" s="1">
        <v>1.0154938670109748</v>
      </c>
      <c r="E63" s="1">
        <v>0.9757177184772986</v>
      </c>
      <c r="F63" s="1">
        <v>0.9742586750788643</v>
      </c>
      <c r="G63" s="1">
        <v>0.9581696032450248</v>
      </c>
      <c r="H63" s="1">
        <v>0.9655128368884915</v>
      </c>
      <c r="I63" s="1">
        <v>0.952803096516419</v>
      </c>
      <c r="J63" s="1">
        <v>0.9498064677238107</v>
      </c>
      <c r="K63" s="1">
        <v>0.9668383368923502</v>
      </c>
      <c r="L63" s="1">
        <v>1.0</v>
      </c>
      <c r="M63" s="1">
        <v>0.9401764029144829</v>
      </c>
      <c r="N63" s="1">
        <v>0.9685740474008118</v>
      </c>
      <c r="Q63" s="25"/>
    </row>
    <row r="64" ht="12.75" customHeight="1">
      <c r="C64" s="1">
        <v>0.9831654125749266</v>
      </c>
      <c r="D64" s="1">
        <v>1.0007746933505488</v>
      </c>
      <c r="E64" s="1">
        <v>0.9681295055014544</v>
      </c>
      <c r="F64" s="1">
        <v>0.9772870662460568</v>
      </c>
      <c r="G64" s="1">
        <v>0.9771834199518317</v>
      </c>
      <c r="H64" s="1">
        <v>0.9762421765231831</v>
      </c>
      <c r="I64" s="1">
        <v>0.9872643276314147</v>
      </c>
      <c r="J64" s="1">
        <v>0.9812710700461981</v>
      </c>
      <c r="K64" s="1">
        <v>0.9773897751538752</v>
      </c>
      <c r="L64" s="1">
        <v>1.0281506581519615</v>
      </c>
      <c r="M64" s="1">
        <v>0.9700882014572415</v>
      </c>
      <c r="N64" s="1">
        <v>0.9905722142202436</v>
      </c>
    </row>
    <row r="65" ht="12.75" customHeight="1">
      <c r="C65" s="1">
        <v>0.7757939038387961</v>
      </c>
      <c r="D65" s="1">
        <v>0.8853453841187864</v>
      </c>
      <c r="E65" s="1">
        <v>0.8793474136840774</v>
      </c>
      <c r="F65" s="1">
        <v>1.0</v>
      </c>
      <c r="G65" s="1">
        <v>0.9429585498795792</v>
      </c>
      <c r="H65" s="1">
        <v>0.8850427896283051</v>
      </c>
      <c r="I65" s="1">
        <v>0.979772755649894</v>
      </c>
      <c r="J65" s="1">
        <v>0.9730303408665252</v>
      </c>
      <c r="K65" s="1">
        <v>0.9819118201231001</v>
      </c>
      <c r="L65" s="1">
        <v>1.0211129936139711</v>
      </c>
      <c r="M65" s="1">
        <v>0.9800588009714943</v>
      </c>
      <c r="N65" s="1">
        <v>0.9913578630352231</v>
      </c>
    </row>
    <row r="66" ht="12.75" customHeight="1">
      <c r="C66" s="1">
        <v>0.17127917357479913</v>
      </c>
      <c r="D66" s="1">
        <v>0.23615235635894127</v>
      </c>
      <c r="E66" s="1">
        <v>0.22220816997597065</v>
      </c>
      <c r="F66" s="1">
        <v>0.09375394321766561</v>
      </c>
      <c r="G66" s="1">
        <v>0.0789707187222715</v>
      </c>
      <c r="H66" s="1">
        <v>0.05888363775705708</v>
      </c>
      <c r="I66" s="1">
        <v>0.3107753777000874</v>
      </c>
      <c r="J66" s="1">
        <v>0.14071669371956547</v>
      </c>
      <c r="K66" s="1">
        <v>0.18980027634719254</v>
      </c>
      <c r="L66" s="1">
        <v>0.45340805421608243</v>
      </c>
      <c r="M66" s="1">
        <v>0.36955132302185856</v>
      </c>
      <c r="N66" s="1">
        <v>0.3793374361660337</v>
      </c>
    </row>
    <row r="67" ht="12.75" customHeight="1">
      <c r="C67" s="1">
        <v>0.05802831271521488</v>
      </c>
      <c r="D67" s="1">
        <v>0.07501613944480309</v>
      </c>
      <c r="E67" s="1">
        <v>0.07272037435184013</v>
      </c>
      <c r="F67" s="1">
        <v>0.007444794952681378</v>
      </c>
      <c r="G67" s="1">
        <v>0.009760425909494224</v>
      </c>
      <c r="H67" s="1">
        <v>0.00676970238855536</v>
      </c>
      <c r="I67" s="1">
        <v>0.02759395679860157</v>
      </c>
      <c r="J67" s="1">
        <v>0.014109127231864138</v>
      </c>
      <c r="K67" s="1">
        <v>0.020223590001256113</v>
      </c>
      <c r="L67" s="1">
        <v>0.07728398279682001</v>
      </c>
      <c r="M67" s="1">
        <v>0.07503515275469767</v>
      </c>
      <c r="N67" s="1">
        <v>0.07607699358386799</v>
      </c>
    </row>
    <row r="68" ht="12.75" customHeight="1">
      <c r="C68" s="1">
        <v>0.015176635633210036</v>
      </c>
      <c r="D68" s="1">
        <v>0.023886378308586177</v>
      </c>
      <c r="E68" s="1">
        <v>0.01808524092576197</v>
      </c>
      <c r="F68" s="1">
        <v>0.004416403785488946</v>
      </c>
      <c r="G68" s="1">
        <v>0.002915451895043717</v>
      </c>
      <c r="H68" s="1">
        <v>0.002171413973687556</v>
      </c>
      <c r="I68" s="1">
        <v>0.008865026844799591</v>
      </c>
      <c r="J68" s="1">
        <v>0.005119240854039193</v>
      </c>
      <c r="K68" s="1">
        <v>0.005150106770506205</v>
      </c>
      <c r="L68" s="1">
        <v>0.01785481558712367</v>
      </c>
      <c r="M68" s="1">
        <v>0.022114278409817195</v>
      </c>
      <c r="N68" s="1">
        <v>0.013225088385491666</v>
      </c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Q45:AB51">
    <cfRule type="colorScale" priority="1">
      <colorScale>
        <cfvo type="formula" val="0"/>
        <cfvo type="formula" val="1"/>
        <color theme="1"/>
        <color rgb="FF00B0F0"/>
      </colorScale>
    </cfRule>
  </conditionalFormatting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9.13"/>
  </cols>
  <sheetData>
    <row r="1" ht="12.75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2.75" customHeight="1">
      <c r="A2" s="26" t="s">
        <v>0</v>
      </c>
      <c r="B2" s="26" t="s">
        <v>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2.7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2.75" customHeight="1">
      <c r="A4" s="26" t="s">
        <v>2</v>
      </c>
      <c r="B4" s="26" t="s">
        <v>3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2.75" customHeight="1">
      <c r="A5" s="26" t="s">
        <v>4</v>
      </c>
      <c r="B5" s="26" t="s">
        <v>5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2.75" customHeight="1">
      <c r="A6" s="26" t="s">
        <v>6</v>
      </c>
      <c r="B6" s="26" t="s">
        <v>42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2.75" customHeight="1">
      <c r="A7" s="26" t="s">
        <v>8</v>
      </c>
      <c r="B7" s="2">
        <v>46121.0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2.75" customHeight="1">
      <c r="A8" s="26" t="s">
        <v>9</v>
      </c>
      <c r="B8" s="3">
        <v>0.6583217592592593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2.75" customHeight="1">
      <c r="A9" s="26" t="s">
        <v>10</v>
      </c>
      <c r="B9" s="26" t="s">
        <v>11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2.75" customHeight="1">
      <c r="A10" s="26" t="s">
        <v>12</v>
      </c>
      <c r="B10" s="26">
        <v>2.5030902E7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2.75" customHeight="1">
      <c r="A11" s="26" t="s">
        <v>13</v>
      </c>
      <c r="B11" s="26" t="s">
        <v>14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2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2.75" customHeight="1">
      <c r="A13" s="4" t="s">
        <v>15</v>
      </c>
      <c r="B13" s="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2.75" customHeight="1">
      <c r="A14" s="26" t="s">
        <v>16</v>
      </c>
      <c r="B14" s="26" t="s">
        <v>17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2.75" customHeight="1">
      <c r="A15" s="26" t="s">
        <v>18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2.75" customHeight="1">
      <c r="A16" s="26" t="s">
        <v>19</v>
      </c>
      <c r="B16" s="26" t="s">
        <v>20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2.75" customHeight="1">
      <c r="A17" s="26"/>
      <c r="B17" s="26" t="s">
        <v>21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2.75" customHeight="1">
      <c r="A18" s="26"/>
      <c r="B18" s="26" t="s">
        <v>22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2.75" customHeight="1">
      <c r="A19" s="26"/>
      <c r="B19" s="26" t="s">
        <v>23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2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2.75" customHeight="1">
      <c r="A21" s="4" t="s">
        <v>24</v>
      </c>
      <c r="B21" s="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2.75" customHeight="1">
      <c r="A22" s="26" t="s">
        <v>25</v>
      </c>
      <c r="B22" s="26">
        <v>26.3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2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2.75" customHeight="1">
      <c r="A24" s="26"/>
      <c r="B24" s="6"/>
      <c r="C24" s="7">
        <v>1.0</v>
      </c>
      <c r="D24" s="7">
        <v>2.0</v>
      </c>
      <c r="E24" s="7">
        <v>3.0</v>
      </c>
      <c r="F24" s="7">
        <v>4.0</v>
      </c>
      <c r="G24" s="7">
        <v>5.0</v>
      </c>
      <c r="H24" s="7">
        <v>6.0</v>
      </c>
      <c r="I24" s="7">
        <v>7.0</v>
      </c>
      <c r="J24" s="7">
        <v>8.0</v>
      </c>
      <c r="K24" s="7">
        <v>9.0</v>
      </c>
      <c r="L24" s="7">
        <v>10.0</v>
      </c>
      <c r="M24" s="7">
        <v>11.0</v>
      </c>
      <c r="N24" s="7">
        <v>12.0</v>
      </c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2.75" customHeight="1">
      <c r="A25" s="26"/>
      <c r="B25" s="7" t="s">
        <v>26</v>
      </c>
      <c r="C25" s="8">
        <v>0.101</v>
      </c>
      <c r="D25" s="8">
        <v>0.104</v>
      </c>
      <c r="E25" s="8">
        <v>0.103</v>
      </c>
      <c r="F25" s="8">
        <v>0.102</v>
      </c>
      <c r="G25" s="8">
        <v>0.104</v>
      </c>
      <c r="H25" s="8">
        <v>0.104</v>
      </c>
      <c r="I25" s="8">
        <v>0.104</v>
      </c>
      <c r="J25" s="8">
        <v>0.104</v>
      </c>
      <c r="K25" s="8">
        <v>0.1</v>
      </c>
      <c r="L25" s="8">
        <v>0.101</v>
      </c>
      <c r="M25" s="8">
        <v>0.1</v>
      </c>
      <c r="N25" s="8">
        <v>0.101</v>
      </c>
      <c r="O25" s="9">
        <v>600.0</v>
      </c>
      <c r="P25" s="1">
        <f>AVERAGE(C25:N25)</f>
        <v>0.1023333333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2.75" customHeight="1">
      <c r="A26" s="26"/>
      <c r="B26" s="7" t="s">
        <v>27</v>
      </c>
      <c r="C26" s="10">
        <v>1.413</v>
      </c>
      <c r="D26" s="10">
        <v>1.422</v>
      </c>
      <c r="E26" s="10">
        <v>1.418</v>
      </c>
      <c r="F26" s="10">
        <v>1.403</v>
      </c>
      <c r="G26" s="10">
        <v>1.408</v>
      </c>
      <c r="H26" s="10">
        <v>1.402</v>
      </c>
      <c r="I26" s="10">
        <v>1.439</v>
      </c>
      <c r="J26" s="10">
        <v>1.396</v>
      </c>
      <c r="K26" s="10">
        <v>1.412</v>
      </c>
      <c r="L26" s="10">
        <v>1.408</v>
      </c>
      <c r="M26" s="11">
        <v>1.358</v>
      </c>
      <c r="N26" s="11">
        <v>1.352</v>
      </c>
      <c r="O26" s="9">
        <v>600.0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2.75" customHeight="1">
      <c r="A27" s="26"/>
      <c r="B27" s="7" t="s">
        <v>28</v>
      </c>
      <c r="C27" s="10">
        <v>1.384</v>
      </c>
      <c r="D27" s="10">
        <v>1.426</v>
      </c>
      <c r="E27" s="10">
        <v>1.431</v>
      </c>
      <c r="F27" s="10">
        <v>1.406</v>
      </c>
      <c r="G27" s="10">
        <v>1.405</v>
      </c>
      <c r="H27" s="10">
        <v>1.412</v>
      </c>
      <c r="I27" s="10">
        <v>1.456</v>
      </c>
      <c r="J27" s="10">
        <v>1.451</v>
      </c>
      <c r="K27" s="10">
        <v>1.457</v>
      </c>
      <c r="L27" s="10">
        <v>1.42</v>
      </c>
      <c r="M27" s="10">
        <v>1.42</v>
      </c>
      <c r="N27" s="10">
        <v>1.417</v>
      </c>
      <c r="O27" s="9">
        <v>600.0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2.75" customHeight="1">
      <c r="A28" s="26"/>
      <c r="B28" s="7" t="s">
        <v>29</v>
      </c>
      <c r="C28" s="10">
        <v>1.36</v>
      </c>
      <c r="D28" s="10">
        <v>1.38</v>
      </c>
      <c r="E28" s="10">
        <v>1.392</v>
      </c>
      <c r="F28" s="10">
        <v>1.411</v>
      </c>
      <c r="G28" s="10">
        <v>1.413</v>
      </c>
      <c r="H28" s="10">
        <v>1.401</v>
      </c>
      <c r="I28" s="10">
        <v>1.435</v>
      </c>
      <c r="J28" s="10">
        <v>1.421</v>
      </c>
      <c r="K28" s="10">
        <v>1.411</v>
      </c>
      <c r="L28" s="10">
        <v>1.42</v>
      </c>
      <c r="M28" s="10">
        <v>1.385</v>
      </c>
      <c r="N28" s="10">
        <v>1.368</v>
      </c>
      <c r="O28" s="9">
        <v>600.0</v>
      </c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2.75" customHeight="1">
      <c r="A29" s="26"/>
      <c r="B29" s="7" t="s">
        <v>30</v>
      </c>
      <c r="C29" s="27">
        <v>1.071</v>
      </c>
      <c r="D29" s="14">
        <v>1.168</v>
      </c>
      <c r="E29" s="14">
        <v>1.197</v>
      </c>
      <c r="F29" s="10">
        <v>1.369</v>
      </c>
      <c r="G29" s="11">
        <v>1.3</v>
      </c>
      <c r="H29" s="10">
        <v>1.396</v>
      </c>
      <c r="I29" s="10">
        <v>1.433</v>
      </c>
      <c r="J29" s="10">
        <v>1.435</v>
      </c>
      <c r="K29" s="10">
        <v>1.42</v>
      </c>
      <c r="L29" s="10">
        <v>1.413</v>
      </c>
      <c r="M29" s="11">
        <v>1.343</v>
      </c>
      <c r="N29" s="11">
        <v>1.357</v>
      </c>
      <c r="O29" s="9">
        <v>600.0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2.75" customHeight="1">
      <c r="A30" s="26"/>
      <c r="B30" s="7" t="s">
        <v>31</v>
      </c>
      <c r="C30" s="15">
        <v>0.274</v>
      </c>
      <c r="D30" s="16">
        <v>0.332</v>
      </c>
      <c r="E30" s="16">
        <v>0.326</v>
      </c>
      <c r="F30" s="8">
        <v>0.196</v>
      </c>
      <c r="G30" s="8">
        <v>0.195</v>
      </c>
      <c r="H30" s="8">
        <v>0.169</v>
      </c>
      <c r="I30" s="18">
        <v>0.415</v>
      </c>
      <c r="J30" s="15">
        <v>0.257</v>
      </c>
      <c r="K30" s="16">
        <v>0.333</v>
      </c>
      <c r="L30" s="28">
        <v>0.691</v>
      </c>
      <c r="M30" s="19">
        <v>0.528</v>
      </c>
      <c r="N30" s="17">
        <v>0.585</v>
      </c>
      <c r="O30" s="9">
        <v>600.0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2.75" customHeight="1">
      <c r="A31" s="26"/>
      <c r="B31" s="7" t="s">
        <v>32</v>
      </c>
      <c r="C31" s="8">
        <v>0.15</v>
      </c>
      <c r="D31" s="8">
        <v>0.178</v>
      </c>
      <c r="E31" s="8">
        <v>0.187</v>
      </c>
      <c r="F31" s="8">
        <v>0.109</v>
      </c>
      <c r="G31" s="8">
        <v>0.109</v>
      </c>
      <c r="H31" s="8">
        <v>0.107</v>
      </c>
      <c r="I31" s="8">
        <v>0.123</v>
      </c>
      <c r="J31" s="8">
        <v>0.117</v>
      </c>
      <c r="K31" s="8">
        <v>0.121</v>
      </c>
      <c r="L31" s="8">
        <v>0.192</v>
      </c>
      <c r="M31" s="8">
        <v>0.188</v>
      </c>
      <c r="N31" s="8">
        <v>0.186</v>
      </c>
      <c r="O31" s="9">
        <v>600.0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2.75" customHeight="1">
      <c r="A32" s="26"/>
      <c r="B32" s="7" t="s">
        <v>33</v>
      </c>
      <c r="C32" s="8">
        <v>0.111</v>
      </c>
      <c r="D32" s="8">
        <v>0.11</v>
      </c>
      <c r="E32" s="8">
        <v>0.106</v>
      </c>
      <c r="F32" s="8">
        <v>0.101</v>
      </c>
      <c r="G32" s="8">
        <v>0.103</v>
      </c>
      <c r="H32" s="8">
        <v>0.101</v>
      </c>
      <c r="I32" s="8">
        <v>0.105</v>
      </c>
      <c r="J32" s="8">
        <v>0.103</v>
      </c>
      <c r="K32" s="8">
        <v>0.104</v>
      </c>
      <c r="L32" s="8">
        <v>0.11</v>
      </c>
      <c r="M32" s="8">
        <v>0.109</v>
      </c>
      <c r="N32" s="8">
        <v>0.107</v>
      </c>
      <c r="O32" s="9">
        <v>600.0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2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2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2.75" customHeight="1">
      <c r="A35" s="26"/>
      <c r="B35" s="26"/>
      <c r="C35" s="1">
        <f t="shared" ref="C35:N35" si="1">C26-$P$25</f>
        <v>1.310666667</v>
      </c>
      <c r="D35" s="1">
        <f t="shared" si="1"/>
        <v>1.319666667</v>
      </c>
      <c r="E35" s="1">
        <f t="shared" si="1"/>
        <v>1.315666667</v>
      </c>
      <c r="F35" s="1">
        <f t="shared" si="1"/>
        <v>1.300666667</v>
      </c>
      <c r="G35" s="1">
        <f t="shared" si="1"/>
        <v>1.305666667</v>
      </c>
      <c r="H35" s="1">
        <f t="shared" si="1"/>
        <v>1.299666667</v>
      </c>
      <c r="I35" s="1">
        <f t="shared" si="1"/>
        <v>1.336666667</v>
      </c>
      <c r="J35" s="1">
        <f t="shared" si="1"/>
        <v>1.293666667</v>
      </c>
      <c r="K35" s="1">
        <f t="shared" si="1"/>
        <v>1.309666667</v>
      </c>
      <c r="L35" s="1">
        <f t="shared" si="1"/>
        <v>1.305666667</v>
      </c>
      <c r="M35" s="1">
        <f t="shared" si="1"/>
        <v>1.255666667</v>
      </c>
      <c r="N35" s="1">
        <f t="shared" si="1"/>
        <v>1.249666667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2.75" customHeight="1">
      <c r="A36" s="26"/>
      <c r="B36" s="26"/>
      <c r="C36" s="1">
        <f t="shared" ref="C36:N36" si="2">C27-$P$25</f>
        <v>1.281666667</v>
      </c>
      <c r="D36" s="1">
        <f t="shared" si="2"/>
        <v>1.323666667</v>
      </c>
      <c r="E36" s="1">
        <f t="shared" si="2"/>
        <v>1.328666667</v>
      </c>
      <c r="F36" s="1">
        <f t="shared" si="2"/>
        <v>1.303666667</v>
      </c>
      <c r="G36" s="1">
        <f t="shared" si="2"/>
        <v>1.302666667</v>
      </c>
      <c r="H36" s="1">
        <f t="shared" si="2"/>
        <v>1.309666667</v>
      </c>
      <c r="I36" s="1">
        <f t="shared" si="2"/>
        <v>1.353666667</v>
      </c>
      <c r="J36" s="1">
        <f t="shared" si="2"/>
        <v>1.348666667</v>
      </c>
      <c r="K36" s="1">
        <f t="shared" si="2"/>
        <v>1.354666667</v>
      </c>
      <c r="L36" s="1">
        <f t="shared" si="2"/>
        <v>1.317666667</v>
      </c>
      <c r="M36" s="1">
        <f t="shared" si="2"/>
        <v>1.317666667</v>
      </c>
      <c r="N36" s="1">
        <f t="shared" si="2"/>
        <v>1.314666667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2.75" customHeight="1">
      <c r="A37" s="26"/>
      <c r="B37" s="26"/>
      <c r="C37" s="1">
        <f t="shared" ref="C37:N37" si="3">C28-$P$25</f>
        <v>1.257666667</v>
      </c>
      <c r="D37" s="1">
        <f t="shared" si="3"/>
        <v>1.277666667</v>
      </c>
      <c r="E37" s="1">
        <f t="shared" si="3"/>
        <v>1.289666667</v>
      </c>
      <c r="F37" s="1">
        <f t="shared" si="3"/>
        <v>1.308666667</v>
      </c>
      <c r="G37" s="1">
        <f t="shared" si="3"/>
        <v>1.310666667</v>
      </c>
      <c r="H37" s="1">
        <f t="shared" si="3"/>
        <v>1.298666667</v>
      </c>
      <c r="I37" s="1">
        <f t="shared" si="3"/>
        <v>1.332666667</v>
      </c>
      <c r="J37" s="1">
        <f t="shared" si="3"/>
        <v>1.318666667</v>
      </c>
      <c r="K37" s="1">
        <f t="shared" si="3"/>
        <v>1.308666667</v>
      </c>
      <c r="L37" s="1">
        <f t="shared" si="3"/>
        <v>1.317666667</v>
      </c>
      <c r="M37" s="1">
        <f t="shared" si="3"/>
        <v>1.282666667</v>
      </c>
      <c r="N37" s="1">
        <f t="shared" si="3"/>
        <v>1.265666667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2.75" customHeight="1">
      <c r="A38" s="26"/>
      <c r="B38" s="26"/>
      <c r="C38" s="1">
        <f t="shared" ref="C38:N38" si="4">C29-$P$25</f>
        <v>0.9686666667</v>
      </c>
      <c r="D38" s="1">
        <f t="shared" si="4"/>
        <v>1.065666667</v>
      </c>
      <c r="E38" s="1">
        <f t="shared" si="4"/>
        <v>1.094666667</v>
      </c>
      <c r="F38" s="1">
        <f t="shared" si="4"/>
        <v>1.266666667</v>
      </c>
      <c r="G38" s="1">
        <f t="shared" si="4"/>
        <v>1.197666667</v>
      </c>
      <c r="H38" s="1">
        <f t="shared" si="4"/>
        <v>1.293666667</v>
      </c>
      <c r="I38" s="1">
        <f t="shared" si="4"/>
        <v>1.330666667</v>
      </c>
      <c r="J38" s="1">
        <f t="shared" si="4"/>
        <v>1.332666667</v>
      </c>
      <c r="K38" s="1">
        <f t="shared" si="4"/>
        <v>1.317666667</v>
      </c>
      <c r="L38" s="1">
        <f t="shared" si="4"/>
        <v>1.310666667</v>
      </c>
      <c r="M38" s="1">
        <f t="shared" si="4"/>
        <v>1.240666667</v>
      </c>
      <c r="N38" s="1">
        <f t="shared" si="4"/>
        <v>1.254666667</v>
      </c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2.75" customHeight="1">
      <c r="A39" s="26"/>
      <c r="B39" s="26"/>
      <c r="C39" s="1">
        <f t="shared" ref="C39:N39" si="5">C30-$P$25</f>
        <v>0.1716666667</v>
      </c>
      <c r="D39" s="1">
        <f t="shared" si="5"/>
        <v>0.2296666667</v>
      </c>
      <c r="E39" s="1">
        <f t="shared" si="5"/>
        <v>0.2236666667</v>
      </c>
      <c r="F39" s="1">
        <f t="shared" si="5"/>
        <v>0.09366666667</v>
      </c>
      <c r="G39" s="1">
        <f t="shared" si="5"/>
        <v>0.09266666667</v>
      </c>
      <c r="H39" s="1">
        <f t="shared" si="5"/>
        <v>0.06666666667</v>
      </c>
      <c r="I39" s="1">
        <f t="shared" si="5"/>
        <v>0.3126666667</v>
      </c>
      <c r="J39" s="1">
        <f t="shared" si="5"/>
        <v>0.1546666667</v>
      </c>
      <c r="K39" s="1">
        <f t="shared" si="5"/>
        <v>0.2306666667</v>
      </c>
      <c r="L39" s="1">
        <f t="shared" si="5"/>
        <v>0.5886666667</v>
      </c>
      <c r="M39" s="1">
        <f t="shared" si="5"/>
        <v>0.4256666667</v>
      </c>
      <c r="N39" s="1">
        <f t="shared" si="5"/>
        <v>0.4826666667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2.75" customHeight="1">
      <c r="A40" s="26"/>
      <c r="B40" s="26"/>
      <c r="C40" s="1">
        <f t="shared" ref="C40:N40" si="6">C31-$P$25</f>
        <v>0.04766666667</v>
      </c>
      <c r="D40" s="1">
        <f t="shared" si="6"/>
        <v>0.07566666667</v>
      </c>
      <c r="E40" s="1">
        <f t="shared" si="6"/>
        <v>0.08466666667</v>
      </c>
      <c r="F40" s="1">
        <f t="shared" si="6"/>
        <v>0.006666666667</v>
      </c>
      <c r="G40" s="1">
        <f t="shared" si="6"/>
        <v>0.006666666667</v>
      </c>
      <c r="H40" s="1">
        <f t="shared" si="6"/>
        <v>0.004666666667</v>
      </c>
      <c r="I40" s="1">
        <f t="shared" si="6"/>
        <v>0.02066666667</v>
      </c>
      <c r="J40" s="1">
        <f t="shared" si="6"/>
        <v>0.01466666667</v>
      </c>
      <c r="K40" s="1">
        <f t="shared" si="6"/>
        <v>0.01866666667</v>
      </c>
      <c r="L40" s="1">
        <f t="shared" si="6"/>
        <v>0.08966666667</v>
      </c>
      <c r="M40" s="1">
        <f t="shared" si="6"/>
        <v>0.08566666667</v>
      </c>
      <c r="N40" s="1">
        <f t="shared" si="6"/>
        <v>0.08366666667</v>
      </c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2.75" customHeight="1">
      <c r="A41" s="26"/>
      <c r="B41" s="26"/>
      <c r="C41" s="1">
        <f t="shared" ref="C41:N41" si="7">C32-$P$25</f>
        <v>0.008666666667</v>
      </c>
      <c r="D41" s="1">
        <f t="shared" si="7"/>
        <v>0.007666666667</v>
      </c>
      <c r="E41" s="1">
        <f t="shared" si="7"/>
        <v>0.003666666667</v>
      </c>
      <c r="F41" s="1">
        <f t="shared" si="7"/>
        <v>-0.001333333333</v>
      </c>
      <c r="G41" s="1">
        <f t="shared" si="7"/>
        <v>0.0006666666667</v>
      </c>
      <c r="H41" s="1">
        <f t="shared" si="7"/>
        <v>-0.001333333333</v>
      </c>
      <c r="I41" s="1">
        <f t="shared" si="7"/>
        <v>0.002666666667</v>
      </c>
      <c r="J41" s="1">
        <f t="shared" si="7"/>
        <v>0.0006666666667</v>
      </c>
      <c r="K41" s="1">
        <f t="shared" si="7"/>
        <v>0.001666666667</v>
      </c>
      <c r="L41" s="1">
        <f t="shared" si="7"/>
        <v>0.007666666667</v>
      </c>
      <c r="M41" s="1">
        <f t="shared" si="7"/>
        <v>0.006666666667</v>
      </c>
      <c r="N41" s="1">
        <f t="shared" si="7"/>
        <v>0.004666666667</v>
      </c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2.75" customHeight="1">
      <c r="A42" s="26"/>
      <c r="B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2.75" customHeight="1">
      <c r="A43" s="26"/>
      <c r="B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2.75" customHeight="1">
      <c r="A44" s="26"/>
      <c r="B44" s="26"/>
      <c r="C44" s="1">
        <f t="shared" ref="C44:C50" si="8">C35/$C$35</f>
        <v>1</v>
      </c>
      <c r="D44" s="1">
        <f t="shared" ref="D44:D50" si="9">D35/$D$35</f>
        <v>1</v>
      </c>
      <c r="E44" s="1">
        <f t="shared" ref="E44:E50" si="10">E35/$E$35</f>
        <v>1</v>
      </c>
      <c r="F44" s="1">
        <f t="shared" ref="F44:F50" si="11">F35/$F$35</f>
        <v>1</v>
      </c>
      <c r="G44" s="1">
        <f t="shared" ref="G44:G50" si="12">G35/$G$35</f>
        <v>1</v>
      </c>
      <c r="H44" s="1">
        <f t="shared" ref="H44:H50" si="13">H35/$H$35</f>
        <v>1</v>
      </c>
      <c r="I44" s="1">
        <f t="shared" ref="I44:I50" si="14">I35/$I$35</f>
        <v>1</v>
      </c>
      <c r="J44" s="1">
        <f t="shared" ref="J44:J50" si="15">J35/$J$35</f>
        <v>1</v>
      </c>
      <c r="K44" s="1">
        <f t="shared" ref="K44:K50" si="16">K35/$K$35</f>
        <v>1</v>
      </c>
      <c r="L44" s="1">
        <f t="shared" ref="L44:L50" si="17">L35/$L$35</f>
        <v>1</v>
      </c>
      <c r="M44" s="1">
        <f t="shared" ref="M44:M50" si="18">M35/$M$35</f>
        <v>1</v>
      </c>
      <c r="N44" s="1">
        <f t="shared" ref="N44:N50" si="19">N35/$N$35</f>
        <v>1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2.75" customHeight="1">
      <c r="A45" s="26"/>
      <c r="B45" s="26"/>
      <c r="C45" s="1">
        <f t="shared" si="8"/>
        <v>0.9778738555</v>
      </c>
      <c r="D45" s="1">
        <f t="shared" si="9"/>
        <v>1.003031068</v>
      </c>
      <c r="E45" s="1">
        <f t="shared" si="10"/>
        <v>1.009880922</v>
      </c>
      <c r="F45" s="1">
        <f t="shared" si="11"/>
        <v>1.002306509</v>
      </c>
      <c r="G45" s="1">
        <f t="shared" si="12"/>
        <v>0.9977023232</v>
      </c>
      <c r="H45" s="1">
        <f t="shared" si="13"/>
        <v>1.007694281</v>
      </c>
      <c r="I45" s="1">
        <f t="shared" si="14"/>
        <v>1.012718204</v>
      </c>
      <c r="J45" s="1">
        <f t="shared" si="15"/>
        <v>1.042514816</v>
      </c>
      <c r="K45" s="1">
        <f t="shared" si="16"/>
        <v>1.034359888</v>
      </c>
      <c r="L45" s="1">
        <f t="shared" si="17"/>
        <v>1.009190707</v>
      </c>
      <c r="M45" s="1">
        <f t="shared" si="18"/>
        <v>1.049376161</v>
      </c>
      <c r="N45" s="1">
        <f t="shared" si="19"/>
        <v>1.05201387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2.75" customHeight="1">
      <c r="A46" s="26"/>
      <c r="B46" s="26"/>
      <c r="C46" s="1">
        <f t="shared" si="8"/>
        <v>0.9595625636</v>
      </c>
      <c r="D46" s="1">
        <f t="shared" si="9"/>
        <v>0.9681737813</v>
      </c>
      <c r="E46" s="1">
        <f t="shared" si="10"/>
        <v>0.9802381556</v>
      </c>
      <c r="F46" s="1">
        <f t="shared" si="11"/>
        <v>1.006150692</v>
      </c>
      <c r="G46" s="1">
        <f t="shared" si="12"/>
        <v>1.003829461</v>
      </c>
      <c r="H46" s="1">
        <f t="shared" si="13"/>
        <v>0.9992305719</v>
      </c>
      <c r="I46" s="1">
        <f t="shared" si="14"/>
        <v>0.9970074813</v>
      </c>
      <c r="J46" s="1">
        <f t="shared" si="15"/>
        <v>1.019324916</v>
      </c>
      <c r="K46" s="1">
        <f t="shared" si="16"/>
        <v>0.9992364469</v>
      </c>
      <c r="L46" s="1">
        <f t="shared" si="17"/>
        <v>1.009190707</v>
      </c>
      <c r="M46" s="1">
        <f t="shared" si="18"/>
        <v>1.021502522</v>
      </c>
      <c r="N46" s="1">
        <f t="shared" si="19"/>
        <v>1.012803414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2.75" customHeight="1">
      <c r="A47" s="26"/>
      <c r="B47" s="26"/>
      <c r="C47" s="1">
        <f t="shared" si="8"/>
        <v>0.7390640895</v>
      </c>
      <c r="D47" s="1">
        <f t="shared" si="9"/>
        <v>0.8075271533</v>
      </c>
      <c r="E47" s="1">
        <f t="shared" si="10"/>
        <v>0.8320243223</v>
      </c>
      <c r="F47" s="1">
        <f t="shared" si="11"/>
        <v>0.9738595592</v>
      </c>
      <c r="G47" s="1">
        <f t="shared" si="12"/>
        <v>0.9172836354</v>
      </c>
      <c r="H47" s="1">
        <f t="shared" si="13"/>
        <v>0.9953834316</v>
      </c>
      <c r="I47" s="1">
        <f t="shared" si="14"/>
        <v>0.9955112219</v>
      </c>
      <c r="J47" s="1">
        <f t="shared" si="15"/>
        <v>1.030146869</v>
      </c>
      <c r="K47" s="1">
        <f t="shared" si="16"/>
        <v>1.006108425</v>
      </c>
      <c r="L47" s="1">
        <f t="shared" si="17"/>
        <v>1.003829461</v>
      </c>
      <c r="M47" s="1">
        <f t="shared" si="18"/>
        <v>0.9880541545</v>
      </c>
      <c r="N47" s="1">
        <f t="shared" si="19"/>
        <v>1.004001067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2.75" customHeight="1">
      <c r="A48" s="26"/>
      <c r="B48" s="26"/>
      <c r="C48" s="1">
        <f t="shared" si="8"/>
        <v>0.1309766022</v>
      </c>
      <c r="D48" s="1">
        <f t="shared" si="9"/>
        <v>0.1740338469</v>
      </c>
      <c r="E48" s="1">
        <f t="shared" si="10"/>
        <v>0.1700025336</v>
      </c>
      <c r="F48" s="1">
        <f t="shared" si="11"/>
        <v>0.07201435161</v>
      </c>
      <c r="G48" s="1">
        <f t="shared" si="12"/>
        <v>0.07097268318</v>
      </c>
      <c r="H48" s="1">
        <f t="shared" si="13"/>
        <v>0.0512952039</v>
      </c>
      <c r="I48" s="1">
        <f t="shared" si="14"/>
        <v>0.233915212</v>
      </c>
      <c r="J48" s="1">
        <f t="shared" si="15"/>
        <v>0.1195568153</v>
      </c>
      <c r="K48" s="1">
        <f t="shared" si="16"/>
        <v>0.1761262408</v>
      </c>
      <c r="L48" s="1">
        <f t="shared" si="17"/>
        <v>0.4508552464</v>
      </c>
      <c r="M48" s="1">
        <f t="shared" si="18"/>
        <v>0.338996549</v>
      </c>
      <c r="N48" s="1">
        <f t="shared" si="19"/>
        <v>0.3862363297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2.75" customHeight="1">
      <c r="A49" s="26"/>
      <c r="B49" s="26"/>
      <c r="C49" s="1">
        <f t="shared" si="8"/>
        <v>0.03636826043</v>
      </c>
      <c r="D49" s="1">
        <f t="shared" si="9"/>
        <v>0.05733771154</v>
      </c>
      <c r="E49" s="1">
        <f t="shared" si="10"/>
        <v>0.06435267292</v>
      </c>
      <c r="F49" s="1">
        <f t="shared" si="11"/>
        <v>0.005125576627</v>
      </c>
      <c r="G49" s="1">
        <f t="shared" si="12"/>
        <v>0.00510594843</v>
      </c>
      <c r="H49" s="1">
        <f t="shared" si="13"/>
        <v>0.003590664273</v>
      </c>
      <c r="I49" s="1">
        <f t="shared" si="14"/>
        <v>0.01546134663</v>
      </c>
      <c r="J49" s="1">
        <f t="shared" si="15"/>
        <v>0.01133728421</v>
      </c>
      <c r="K49" s="1">
        <f t="shared" si="16"/>
        <v>0.01425299058</v>
      </c>
      <c r="L49" s="1">
        <f t="shared" si="17"/>
        <v>0.06867500638</v>
      </c>
      <c r="M49" s="1">
        <f t="shared" si="18"/>
        <v>0.06822405097</v>
      </c>
      <c r="N49" s="1">
        <f t="shared" si="19"/>
        <v>0.06695118698</v>
      </c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2.75" customHeight="1">
      <c r="A50" s="26"/>
      <c r="B50" s="26"/>
      <c r="C50" s="1">
        <f t="shared" si="8"/>
        <v>0.006612410987</v>
      </c>
      <c r="D50" s="1">
        <f t="shared" si="9"/>
        <v>0.005809547866</v>
      </c>
      <c r="E50" s="1">
        <f t="shared" si="10"/>
        <v>0.00278692678</v>
      </c>
      <c r="F50" s="1">
        <f t="shared" si="11"/>
        <v>-0.001025115325</v>
      </c>
      <c r="G50" s="1">
        <f t="shared" si="12"/>
        <v>0.000510594843</v>
      </c>
      <c r="H50" s="1">
        <f t="shared" si="13"/>
        <v>-0.001025904078</v>
      </c>
      <c r="I50" s="1">
        <f t="shared" si="14"/>
        <v>0.001995012469</v>
      </c>
      <c r="J50" s="1">
        <f t="shared" si="15"/>
        <v>0.0005153311002</v>
      </c>
      <c r="K50" s="1">
        <f t="shared" si="16"/>
        <v>0.001272588445</v>
      </c>
      <c r="L50" s="1">
        <f t="shared" si="17"/>
        <v>0.005871840694</v>
      </c>
      <c r="M50" s="1">
        <f t="shared" si="18"/>
        <v>0.005309264667</v>
      </c>
      <c r="N50" s="1">
        <f t="shared" si="19"/>
        <v>0.003734329154</v>
      </c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2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2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2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2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2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2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2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2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2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2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2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2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2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2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2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2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2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2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2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2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2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2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2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2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2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2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2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2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2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2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2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2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2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2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2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2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2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2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2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2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2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2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2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2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2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2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2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2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2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2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2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2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2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2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2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2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2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2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2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2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2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2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2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2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2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2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2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2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2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2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2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2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2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2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2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2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2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2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2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2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2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2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2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2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2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2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2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2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2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2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2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2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2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2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2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2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2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2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2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2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2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2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2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2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2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2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2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2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2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2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2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2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2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2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2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2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2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2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2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2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2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2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2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2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2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2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2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2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2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2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2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2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2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2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2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2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2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2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2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2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2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2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2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2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2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2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2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2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2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2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2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2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2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2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2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2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2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2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2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2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2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2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2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2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2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2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2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2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2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2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2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2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2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2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2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2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2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2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2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2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2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2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2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2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2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2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2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2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2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2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2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2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2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2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2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2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2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2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2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2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2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2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2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2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2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2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2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2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2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2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2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2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2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2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2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2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2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2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2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2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2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2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2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2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2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2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2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2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2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2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2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2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2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2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2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2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2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2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2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2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2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2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2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2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2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2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2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2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2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2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2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2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2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2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2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2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2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2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2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2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2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2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2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2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2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2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2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2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2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2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2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2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2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2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2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2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2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2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2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2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2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2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2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2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2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2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2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2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2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2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2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2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2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2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2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2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2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2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2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2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2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2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2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2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2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2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2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2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2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2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2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2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2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2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2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2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2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2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2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2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2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2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2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2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2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2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2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2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2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2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2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2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2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2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2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2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2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2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2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2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2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2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2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2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2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2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2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2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2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2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2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2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2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2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2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2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2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2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2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2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2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2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2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2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2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2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2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2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2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2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2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2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2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2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2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2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2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2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2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2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2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2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2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2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2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2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2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2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2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2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2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2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2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2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2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2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2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2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2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2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2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2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2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2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2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2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2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2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2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2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2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2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2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2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2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2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2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2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2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2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2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2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2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2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2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2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2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2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2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2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2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2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2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2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2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2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2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2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2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2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2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2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2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2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2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2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2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2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2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2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2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2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2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2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2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2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2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2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2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2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2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2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2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2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2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2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2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2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2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2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2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2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2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2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2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2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2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2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2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2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2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2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2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2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2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2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2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2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2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2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2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2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2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2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2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2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2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2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2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2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2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2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2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2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2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2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2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2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2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2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2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2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2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2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2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2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2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2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2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2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2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2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2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2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2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2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2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2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2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2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2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2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2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2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2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2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2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2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2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2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2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2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2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2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2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2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2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2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2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2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2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2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2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2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2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2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2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2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2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2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2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2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2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2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2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2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2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2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2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2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2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2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2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2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2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2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2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2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2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2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2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2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2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2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2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2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2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2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2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2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2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2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2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2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2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2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2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2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2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2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2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2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2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2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2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2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2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2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2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2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2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2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2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2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2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2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2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2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2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2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2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2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2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2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2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2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2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2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2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2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2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2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2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2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2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2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2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2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2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2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2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2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2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2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2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2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2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2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2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2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2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2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2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2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2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2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2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2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2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2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2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2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2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2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2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2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2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2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2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2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2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2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2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2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2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2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2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2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2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2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2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2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2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2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2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2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2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2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2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2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2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2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2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2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2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2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2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2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2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2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2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2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2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2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2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2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2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2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2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2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2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2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2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2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2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2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2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2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2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2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2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2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2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2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2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2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2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2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2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2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2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2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2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2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2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2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2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2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2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2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2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2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2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2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2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2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2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2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2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2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2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2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2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2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2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2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2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2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2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2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2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2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2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2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2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2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2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2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2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2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2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2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2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2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2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2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2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2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2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2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2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2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2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2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2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2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2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2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2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2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2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2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2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2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2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2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2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2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2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2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2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2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2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2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2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2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2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2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2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2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2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2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2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2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2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2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2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2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2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2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2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2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2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2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2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2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2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2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2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2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2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2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2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2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2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9.13"/>
  </cols>
  <sheetData>
    <row r="1" ht="12.75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2.75" customHeight="1">
      <c r="A2" s="26" t="s">
        <v>0</v>
      </c>
      <c r="B2" s="26" t="s">
        <v>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2.7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2.75" customHeight="1">
      <c r="A4" s="26" t="s">
        <v>2</v>
      </c>
      <c r="B4" s="26" t="s">
        <v>3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2.75" customHeight="1">
      <c r="A5" s="26" t="s">
        <v>4</v>
      </c>
      <c r="B5" s="26" t="s">
        <v>5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2.75" customHeight="1">
      <c r="A6" s="26" t="s">
        <v>6</v>
      </c>
      <c r="B6" s="26" t="s">
        <v>43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2.75" customHeight="1">
      <c r="A7" s="26" t="s">
        <v>8</v>
      </c>
      <c r="B7" s="2">
        <v>46121.0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2.75" customHeight="1">
      <c r="A8" s="26" t="s">
        <v>9</v>
      </c>
      <c r="B8" s="3">
        <v>0.6591782407407407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2.75" customHeight="1">
      <c r="A9" s="26" t="s">
        <v>10</v>
      </c>
      <c r="B9" s="26" t="s">
        <v>11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2.75" customHeight="1">
      <c r="A10" s="26" t="s">
        <v>12</v>
      </c>
      <c r="B10" s="26">
        <v>2.5030902E7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2.75" customHeight="1">
      <c r="A11" s="26" t="s">
        <v>13</v>
      </c>
      <c r="B11" s="26" t="s">
        <v>14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2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2.75" customHeight="1">
      <c r="A13" s="4" t="s">
        <v>15</v>
      </c>
      <c r="B13" s="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2.75" customHeight="1">
      <c r="A14" s="26" t="s">
        <v>16</v>
      </c>
      <c r="B14" s="26" t="s">
        <v>17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2.75" customHeight="1">
      <c r="A15" s="26" t="s">
        <v>18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2.75" customHeight="1">
      <c r="A16" s="26" t="s">
        <v>19</v>
      </c>
      <c r="B16" s="26" t="s">
        <v>20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2.75" customHeight="1">
      <c r="A17" s="26"/>
      <c r="B17" s="26" t="s">
        <v>21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2.75" customHeight="1">
      <c r="A18" s="26"/>
      <c r="B18" s="26" t="s">
        <v>22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2.75" customHeight="1">
      <c r="A19" s="26"/>
      <c r="B19" s="26" t="s">
        <v>23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2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2.75" customHeight="1">
      <c r="A21" s="4" t="s">
        <v>24</v>
      </c>
      <c r="B21" s="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2.75" customHeight="1">
      <c r="A22" s="26" t="s">
        <v>25</v>
      </c>
      <c r="B22" s="26">
        <v>26.3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2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2.75" customHeight="1">
      <c r="A24" s="26"/>
      <c r="B24" s="6"/>
      <c r="C24" s="7">
        <v>1.0</v>
      </c>
      <c r="D24" s="7">
        <v>2.0</v>
      </c>
      <c r="E24" s="7">
        <v>3.0</v>
      </c>
      <c r="F24" s="7">
        <v>4.0</v>
      </c>
      <c r="G24" s="7">
        <v>5.0</v>
      </c>
      <c r="H24" s="7">
        <v>6.0</v>
      </c>
      <c r="I24" s="7">
        <v>7.0</v>
      </c>
      <c r="J24" s="7">
        <v>8.0</v>
      </c>
      <c r="K24" s="7">
        <v>9.0</v>
      </c>
      <c r="L24" s="7">
        <v>10.0</v>
      </c>
      <c r="M24" s="7">
        <v>11.0</v>
      </c>
      <c r="N24" s="7">
        <v>12.0</v>
      </c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2.75" customHeight="1">
      <c r="A25" s="26"/>
      <c r="B25" s="7" t="s">
        <v>26</v>
      </c>
      <c r="C25" s="8">
        <v>0.101</v>
      </c>
      <c r="D25" s="8">
        <v>0.101</v>
      </c>
      <c r="E25" s="8">
        <v>0.101</v>
      </c>
      <c r="F25" s="8">
        <v>0.101</v>
      </c>
      <c r="G25" s="8">
        <v>0.101</v>
      </c>
      <c r="H25" s="8">
        <v>0.102</v>
      </c>
      <c r="I25" s="8">
        <v>0.103</v>
      </c>
      <c r="J25" s="8">
        <v>0.101</v>
      </c>
      <c r="K25" s="8">
        <v>0.1</v>
      </c>
      <c r="L25" s="8">
        <v>0.101</v>
      </c>
      <c r="M25" s="8">
        <v>0.1</v>
      </c>
      <c r="N25" s="8">
        <v>0.102</v>
      </c>
      <c r="O25" s="9">
        <v>600.0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2.75" customHeight="1">
      <c r="A26" s="26"/>
      <c r="B26" s="7" t="s">
        <v>27</v>
      </c>
      <c r="C26" s="10">
        <v>1.408</v>
      </c>
      <c r="D26" s="10">
        <v>1.392</v>
      </c>
      <c r="E26" s="10">
        <v>1.419</v>
      </c>
      <c r="F26" s="10">
        <v>1.422</v>
      </c>
      <c r="G26" s="10">
        <v>1.416</v>
      </c>
      <c r="H26" s="10">
        <v>1.406</v>
      </c>
      <c r="I26" s="10">
        <v>1.436</v>
      </c>
      <c r="J26" s="10">
        <v>1.436</v>
      </c>
      <c r="K26" s="10">
        <v>1.428</v>
      </c>
      <c r="L26" s="10">
        <v>1.38</v>
      </c>
      <c r="M26" s="10">
        <v>1.405</v>
      </c>
      <c r="N26" s="10">
        <v>1.374</v>
      </c>
      <c r="O26" s="9">
        <v>600.0</v>
      </c>
      <c r="P26" s="1">
        <f>AVERAGE(C25:N25)</f>
        <v>0.1011666667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2.75" customHeight="1">
      <c r="A27" s="26"/>
      <c r="B27" s="7" t="s">
        <v>28</v>
      </c>
      <c r="C27" s="10">
        <v>1.394</v>
      </c>
      <c r="D27" s="10">
        <v>1.412</v>
      </c>
      <c r="E27" s="10">
        <v>1.387</v>
      </c>
      <c r="F27" s="10">
        <v>1.388</v>
      </c>
      <c r="G27" s="10">
        <v>1.361</v>
      </c>
      <c r="H27" s="10">
        <v>1.361</v>
      </c>
      <c r="I27" s="10">
        <v>1.373</v>
      </c>
      <c r="J27" s="10">
        <v>1.369</v>
      </c>
      <c r="K27" s="10">
        <v>1.384</v>
      </c>
      <c r="L27" s="10">
        <v>1.38</v>
      </c>
      <c r="M27" s="11">
        <v>1.327</v>
      </c>
      <c r="N27" s="11">
        <v>1.334</v>
      </c>
      <c r="O27" s="9">
        <v>600.0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2.75" customHeight="1">
      <c r="A28" s="26"/>
      <c r="B28" s="7" t="s">
        <v>29</v>
      </c>
      <c r="C28" s="10">
        <v>1.386</v>
      </c>
      <c r="D28" s="10">
        <v>1.393</v>
      </c>
      <c r="E28" s="10">
        <v>1.377</v>
      </c>
      <c r="F28" s="10">
        <v>1.392</v>
      </c>
      <c r="G28" s="10">
        <v>1.386</v>
      </c>
      <c r="H28" s="10">
        <v>1.375</v>
      </c>
      <c r="I28" s="10">
        <v>1.419</v>
      </c>
      <c r="J28" s="10">
        <v>1.411</v>
      </c>
      <c r="K28" s="10">
        <v>1.398</v>
      </c>
      <c r="L28" s="10">
        <v>1.416</v>
      </c>
      <c r="M28" s="10">
        <v>1.366</v>
      </c>
      <c r="N28" s="10">
        <v>1.362</v>
      </c>
      <c r="O28" s="9">
        <v>600.0</v>
      </c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2.75" customHeight="1">
      <c r="A29" s="26"/>
      <c r="B29" s="7" t="s">
        <v>30</v>
      </c>
      <c r="C29" s="27">
        <v>1.115</v>
      </c>
      <c r="D29" s="14">
        <v>1.244</v>
      </c>
      <c r="E29" s="11">
        <v>1.26</v>
      </c>
      <c r="F29" s="10">
        <v>1.422</v>
      </c>
      <c r="G29" s="10">
        <v>1.341</v>
      </c>
      <c r="H29" s="11">
        <v>1.256</v>
      </c>
      <c r="I29" s="10">
        <v>1.409</v>
      </c>
      <c r="J29" s="10">
        <v>1.4</v>
      </c>
      <c r="K29" s="10">
        <v>1.404</v>
      </c>
      <c r="L29" s="10">
        <v>1.407</v>
      </c>
      <c r="M29" s="10">
        <v>1.379</v>
      </c>
      <c r="N29" s="10">
        <v>1.363</v>
      </c>
      <c r="O29" s="9">
        <v>600.0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2.75" customHeight="1">
      <c r="A30" s="26"/>
      <c r="B30" s="7" t="s">
        <v>31</v>
      </c>
      <c r="C30" s="16">
        <v>0.325</v>
      </c>
      <c r="D30" s="18">
        <v>0.406</v>
      </c>
      <c r="E30" s="18">
        <v>0.394</v>
      </c>
      <c r="F30" s="15">
        <v>0.225</v>
      </c>
      <c r="G30" s="15">
        <v>0.205</v>
      </c>
      <c r="H30" s="8">
        <v>0.178</v>
      </c>
      <c r="I30" s="19">
        <v>0.516</v>
      </c>
      <c r="J30" s="15">
        <v>0.289</v>
      </c>
      <c r="K30" s="16">
        <v>0.353</v>
      </c>
      <c r="L30" s="28">
        <v>0.681</v>
      </c>
      <c r="M30" s="17">
        <v>0.583</v>
      </c>
      <c r="N30" s="17">
        <v>0.584</v>
      </c>
      <c r="O30" s="9">
        <v>600.0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2.75" customHeight="1">
      <c r="A31" s="26"/>
      <c r="B31" s="7" t="s">
        <v>32</v>
      </c>
      <c r="C31" s="8">
        <v>0.177</v>
      </c>
      <c r="D31" s="15">
        <v>0.198</v>
      </c>
      <c r="E31" s="15">
        <v>0.197</v>
      </c>
      <c r="F31" s="8">
        <v>0.111</v>
      </c>
      <c r="G31" s="8">
        <v>0.114</v>
      </c>
      <c r="H31" s="8">
        <v>0.11</v>
      </c>
      <c r="I31" s="8">
        <v>0.138</v>
      </c>
      <c r="J31" s="8">
        <v>0.12</v>
      </c>
      <c r="K31" s="8">
        <v>0.128</v>
      </c>
      <c r="L31" s="15">
        <v>0.2</v>
      </c>
      <c r="M31" s="15">
        <v>0.199</v>
      </c>
      <c r="N31" s="15">
        <v>0.198</v>
      </c>
      <c r="O31" s="9">
        <v>600.0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2.75" customHeight="1">
      <c r="A32" s="26"/>
      <c r="B32" s="7" t="s">
        <v>33</v>
      </c>
      <c r="C32" s="8">
        <v>0.121</v>
      </c>
      <c r="D32" s="8">
        <v>0.132</v>
      </c>
      <c r="E32" s="8">
        <v>0.125</v>
      </c>
      <c r="F32" s="8">
        <v>0.107</v>
      </c>
      <c r="G32" s="8">
        <v>0.105</v>
      </c>
      <c r="H32" s="8">
        <v>0.104</v>
      </c>
      <c r="I32" s="8">
        <v>0.113</v>
      </c>
      <c r="J32" s="8">
        <v>0.108</v>
      </c>
      <c r="K32" s="8">
        <v>0.108</v>
      </c>
      <c r="L32" s="8">
        <v>0.124</v>
      </c>
      <c r="M32" s="8">
        <v>0.13</v>
      </c>
      <c r="N32" s="8">
        <v>0.118</v>
      </c>
      <c r="O32" s="9">
        <v>600.0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2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2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2.75" customHeight="1">
      <c r="A35" s="26"/>
      <c r="B35" s="26"/>
      <c r="C35" s="1">
        <f t="shared" ref="C35:N35" si="1">C26-$P$26</f>
        <v>1.306833333</v>
      </c>
      <c r="D35" s="1">
        <f t="shared" si="1"/>
        <v>1.290833333</v>
      </c>
      <c r="E35" s="1">
        <f t="shared" si="1"/>
        <v>1.317833333</v>
      </c>
      <c r="F35" s="1">
        <f t="shared" si="1"/>
        <v>1.320833333</v>
      </c>
      <c r="G35" s="1">
        <f t="shared" si="1"/>
        <v>1.314833333</v>
      </c>
      <c r="H35" s="1">
        <f t="shared" si="1"/>
        <v>1.304833333</v>
      </c>
      <c r="I35" s="1">
        <f t="shared" si="1"/>
        <v>1.334833333</v>
      </c>
      <c r="J35" s="1">
        <f t="shared" si="1"/>
        <v>1.334833333</v>
      </c>
      <c r="K35" s="1">
        <f t="shared" si="1"/>
        <v>1.326833333</v>
      </c>
      <c r="L35" s="1">
        <f t="shared" si="1"/>
        <v>1.278833333</v>
      </c>
      <c r="M35" s="1">
        <f t="shared" si="1"/>
        <v>1.303833333</v>
      </c>
      <c r="N35" s="1">
        <f t="shared" si="1"/>
        <v>1.272833333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2.75" customHeight="1">
      <c r="A36" s="26"/>
      <c r="B36" s="26"/>
      <c r="C36" s="1">
        <f t="shared" ref="C36:N36" si="2">C27-$P$26</f>
        <v>1.292833333</v>
      </c>
      <c r="D36" s="1">
        <f t="shared" si="2"/>
        <v>1.310833333</v>
      </c>
      <c r="E36" s="1">
        <f t="shared" si="2"/>
        <v>1.285833333</v>
      </c>
      <c r="F36" s="1">
        <f t="shared" si="2"/>
        <v>1.286833333</v>
      </c>
      <c r="G36" s="1">
        <f t="shared" si="2"/>
        <v>1.259833333</v>
      </c>
      <c r="H36" s="1">
        <f t="shared" si="2"/>
        <v>1.259833333</v>
      </c>
      <c r="I36" s="1">
        <f t="shared" si="2"/>
        <v>1.271833333</v>
      </c>
      <c r="J36" s="1">
        <f t="shared" si="2"/>
        <v>1.267833333</v>
      </c>
      <c r="K36" s="1">
        <f t="shared" si="2"/>
        <v>1.282833333</v>
      </c>
      <c r="L36" s="1">
        <f t="shared" si="2"/>
        <v>1.278833333</v>
      </c>
      <c r="M36" s="1">
        <f t="shared" si="2"/>
        <v>1.225833333</v>
      </c>
      <c r="N36" s="1">
        <f t="shared" si="2"/>
        <v>1.232833333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2.75" customHeight="1">
      <c r="A37" s="26"/>
      <c r="B37" s="26"/>
      <c r="C37" s="1">
        <f t="shared" ref="C37:N37" si="3">C28-$P$26</f>
        <v>1.284833333</v>
      </c>
      <c r="D37" s="1">
        <f t="shared" si="3"/>
        <v>1.291833333</v>
      </c>
      <c r="E37" s="1">
        <f t="shared" si="3"/>
        <v>1.275833333</v>
      </c>
      <c r="F37" s="1">
        <f t="shared" si="3"/>
        <v>1.290833333</v>
      </c>
      <c r="G37" s="1">
        <f t="shared" si="3"/>
        <v>1.284833333</v>
      </c>
      <c r="H37" s="1">
        <f t="shared" si="3"/>
        <v>1.273833333</v>
      </c>
      <c r="I37" s="1">
        <f t="shared" si="3"/>
        <v>1.317833333</v>
      </c>
      <c r="J37" s="1">
        <f t="shared" si="3"/>
        <v>1.309833333</v>
      </c>
      <c r="K37" s="1">
        <f t="shared" si="3"/>
        <v>1.296833333</v>
      </c>
      <c r="L37" s="1">
        <f t="shared" si="3"/>
        <v>1.314833333</v>
      </c>
      <c r="M37" s="1">
        <f t="shared" si="3"/>
        <v>1.264833333</v>
      </c>
      <c r="N37" s="1">
        <f t="shared" si="3"/>
        <v>1.260833333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2.75" customHeight="1">
      <c r="A38" s="26"/>
      <c r="B38" s="26"/>
      <c r="C38" s="1">
        <f t="shared" ref="C38:N38" si="4">C29-$P$26</f>
        <v>1.013833333</v>
      </c>
      <c r="D38" s="1">
        <f t="shared" si="4"/>
        <v>1.142833333</v>
      </c>
      <c r="E38" s="1">
        <f t="shared" si="4"/>
        <v>1.158833333</v>
      </c>
      <c r="F38" s="1">
        <f t="shared" si="4"/>
        <v>1.320833333</v>
      </c>
      <c r="G38" s="1">
        <f t="shared" si="4"/>
        <v>1.239833333</v>
      </c>
      <c r="H38" s="1">
        <f t="shared" si="4"/>
        <v>1.154833333</v>
      </c>
      <c r="I38" s="1">
        <f t="shared" si="4"/>
        <v>1.307833333</v>
      </c>
      <c r="J38" s="1">
        <f t="shared" si="4"/>
        <v>1.298833333</v>
      </c>
      <c r="K38" s="1">
        <f t="shared" si="4"/>
        <v>1.302833333</v>
      </c>
      <c r="L38" s="1">
        <f t="shared" si="4"/>
        <v>1.305833333</v>
      </c>
      <c r="M38" s="1">
        <f t="shared" si="4"/>
        <v>1.277833333</v>
      </c>
      <c r="N38" s="1">
        <f t="shared" si="4"/>
        <v>1.261833333</v>
      </c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2.75" customHeight="1">
      <c r="A39" s="26"/>
      <c r="B39" s="26"/>
      <c r="C39" s="1">
        <f t="shared" ref="C39:N39" si="5">C30-$P$26</f>
        <v>0.2238333333</v>
      </c>
      <c r="D39" s="1">
        <f t="shared" si="5"/>
        <v>0.3048333333</v>
      </c>
      <c r="E39" s="1">
        <f t="shared" si="5"/>
        <v>0.2928333333</v>
      </c>
      <c r="F39" s="1">
        <f t="shared" si="5"/>
        <v>0.1238333333</v>
      </c>
      <c r="G39" s="1">
        <f t="shared" si="5"/>
        <v>0.1038333333</v>
      </c>
      <c r="H39" s="1">
        <f t="shared" si="5"/>
        <v>0.07683333333</v>
      </c>
      <c r="I39" s="1">
        <f t="shared" si="5"/>
        <v>0.4148333333</v>
      </c>
      <c r="J39" s="1">
        <f t="shared" si="5"/>
        <v>0.1878333333</v>
      </c>
      <c r="K39" s="1">
        <f t="shared" si="5"/>
        <v>0.2518333333</v>
      </c>
      <c r="L39" s="1">
        <f t="shared" si="5"/>
        <v>0.5798333333</v>
      </c>
      <c r="M39" s="1">
        <f t="shared" si="5"/>
        <v>0.4818333333</v>
      </c>
      <c r="N39" s="1">
        <f t="shared" si="5"/>
        <v>0.4828333333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2.75" customHeight="1">
      <c r="A40" s="26"/>
      <c r="B40" s="26"/>
      <c r="C40" s="1">
        <f t="shared" ref="C40:N40" si="6">C31-$P$26</f>
        <v>0.07583333333</v>
      </c>
      <c r="D40" s="1">
        <f t="shared" si="6"/>
        <v>0.09683333333</v>
      </c>
      <c r="E40" s="1">
        <f t="shared" si="6"/>
        <v>0.09583333333</v>
      </c>
      <c r="F40" s="1">
        <f t="shared" si="6"/>
        <v>0.009833333333</v>
      </c>
      <c r="G40" s="1">
        <f t="shared" si="6"/>
        <v>0.01283333333</v>
      </c>
      <c r="H40" s="1">
        <f t="shared" si="6"/>
        <v>0.008833333333</v>
      </c>
      <c r="I40" s="1">
        <f t="shared" si="6"/>
        <v>0.03683333333</v>
      </c>
      <c r="J40" s="1">
        <f t="shared" si="6"/>
        <v>0.01883333333</v>
      </c>
      <c r="K40" s="1">
        <f t="shared" si="6"/>
        <v>0.02683333333</v>
      </c>
      <c r="L40" s="1">
        <f t="shared" si="6"/>
        <v>0.09883333333</v>
      </c>
      <c r="M40" s="1">
        <f t="shared" si="6"/>
        <v>0.09783333333</v>
      </c>
      <c r="N40" s="1">
        <f t="shared" si="6"/>
        <v>0.09683333333</v>
      </c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2.75" customHeight="1">
      <c r="A41" s="26"/>
      <c r="B41" s="26"/>
      <c r="C41" s="1">
        <f t="shared" ref="C41:N41" si="7">C32-$P$26</f>
        <v>0.01983333333</v>
      </c>
      <c r="D41" s="1">
        <f t="shared" si="7"/>
        <v>0.03083333333</v>
      </c>
      <c r="E41" s="1">
        <f t="shared" si="7"/>
        <v>0.02383333333</v>
      </c>
      <c r="F41" s="1">
        <f t="shared" si="7"/>
        <v>0.005833333333</v>
      </c>
      <c r="G41" s="1">
        <f t="shared" si="7"/>
        <v>0.003833333333</v>
      </c>
      <c r="H41" s="1">
        <f t="shared" si="7"/>
        <v>0.002833333333</v>
      </c>
      <c r="I41" s="1">
        <f t="shared" si="7"/>
        <v>0.01183333333</v>
      </c>
      <c r="J41" s="1">
        <f t="shared" si="7"/>
        <v>0.006833333333</v>
      </c>
      <c r="K41" s="1">
        <f t="shared" si="7"/>
        <v>0.006833333333</v>
      </c>
      <c r="L41" s="1">
        <f t="shared" si="7"/>
        <v>0.02283333333</v>
      </c>
      <c r="M41" s="1">
        <f t="shared" si="7"/>
        <v>0.02883333333</v>
      </c>
      <c r="N41" s="1">
        <f t="shared" si="7"/>
        <v>0.01683333333</v>
      </c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2.75" customHeight="1">
      <c r="A42" s="26"/>
      <c r="B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2.75" customHeight="1">
      <c r="A43" s="26"/>
      <c r="B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2.75" customHeight="1">
      <c r="A44" s="26"/>
      <c r="B44" s="26"/>
      <c r="C44" s="1">
        <f t="shared" ref="C44:C50" si="8">C35/$C$35</f>
        <v>1</v>
      </c>
      <c r="D44" s="1">
        <f t="shared" ref="D44:D50" si="9">D35/$D$35</f>
        <v>1</v>
      </c>
      <c r="E44" s="1">
        <f t="shared" ref="E44:E50" si="10">E35/$E$35</f>
        <v>1</v>
      </c>
      <c r="F44" s="1">
        <f t="shared" ref="F44:F50" si="11">F35/$F$35</f>
        <v>1</v>
      </c>
      <c r="G44" s="1">
        <f t="shared" ref="G44:G50" si="12">G35/$G$35</f>
        <v>1</v>
      </c>
      <c r="H44" s="1">
        <f t="shared" ref="H44:H50" si="13">H35/$H$35</f>
        <v>1</v>
      </c>
      <c r="I44" s="1">
        <f t="shared" ref="I44:I50" si="14">I35/$I$35</f>
        <v>1</v>
      </c>
      <c r="J44" s="1">
        <f t="shared" ref="J44:J50" si="15">J35/$J$35</f>
        <v>1</v>
      </c>
      <c r="K44" s="1">
        <f t="shared" ref="K44:K50" si="16">K35/$K$35</f>
        <v>1</v>
      </c>
      <c r="L44" s="1">
        <f t="shared" ref="L44:L50" si="17">L35/$L$35</f>
        <v>1</v>
      </c>
      <c r="M44" s="1">
        <f t="shared" ref="M44:M50" si="18">M35/$M$35</f>
        <v>1</v>
      </c>
      <c r="N44" s="1">
        <f t="shared" ref="N44:N50" si="19">N35/$N$35</f>
        <v>1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2.75" customHeight="1">
      <c r="A45" s="26"/>
      <c r="B45" s="26"/>
      <c r="C45" s="1">
        <f t="shared" si="8"/>
        <v>0.9892870807</v>
      </c>
      <c r="D45" s="1">
        <f t="shared" si="9"/>
        <v>1.015493867</v>
      </c>
      <c r="E45" s="1">
        <f t="shared" si="10"/>
        <v>0.9757177185</v>
      </c>
      <c r="F45" s="1">
        <f t="shared" si="11"/>
        <v>0.9742586751</v>
      </c>
      <c r="G45" s="1">
        <f t="shared" si="12"/>
        <v>0.9581696032</v>
      </c>
      <c r="H45" s="1">
        <f t="shared" si="13"/>
        <v>0.9655128369</v>
      </c>
      <c r="I45" s="1">
        <f t="shared" si="14"/>
        <v>0.9528030965</v>
      </c>
      <c r="J45" s="1">
        <f t="shared" si="15"/>
        <v>0.9498064677</v>
      </c>
      <c r="K45" s="1">
        <f t="shared" si="16"/>
        <v>0.9668383369</v>
      </c>
      <c r="L45" s="1">
        <f t="shared" si="17"/>
        <v>1</v>
      </c>
      <c r="M45" s="1">
        <f t="shared" si="18"/>
        <v>0.9401764029</v>
      </c>
      <c r="N45" s="1">
        <f t="shared" si="19"/>
        <v>0.9685740474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2.75" customHeight="1">
      <c r="A46" s="26"/>
      <c r="B46" s="26"/>
      <c r="C46" s="1">
        <f t="shared" si="8"/>
        <v>0.9831654126</v>
      </c>
      <c r="D46" s="1">
        <f t="shared" si="9"/>
        <v>1.000774693</v>
      </c>
      <c r="E46" s="1">
        <f t="shared" si="10"/>
        <v>0.9681295055</v>
      </c>
      <c r="F46" s="1">
        <f t="shared" si="11"/>
        <v>0.9772870662</v>
      </c>
      <c r="G46" s="1">
        <f t="shared" si="12"/>
        <v>0.97718342</v>
      </c>
      <c r="H46" s="1">
        <f t="shared" si="13"/>
        <v>0.9762421765</v>
      </c>
      <c r="I46" s="1">
        <f t="shared" si="14"/>
        <v>0.9872643276</v>
      </c>
      <c r="J46" s="1">
        <f t="shared" si="15"/>
        <v>0.98127107</v>
      </c>
      <c r="K46" s="1">
        <f t="shared" si="16"/>
        <v>0.9773897752</v>
      </c>
      <c r="L46" s="1">
        <f t="shared" si="17"/>
        <v>1.028150658</v>
      </c>
      <c r="M46" s="1">
        <f t="shared" si="18"/>
        <v>0.9700882015</v>
      </c>
      <c r="N46" s="1">
        <f t="shared" si="19"/>
        <v>0.9905722142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2.75" customHeight="1">
      <c r="A47" s="26"/>
      <c r="B47" s="26"/>
      <c r="C47" s="1">
        <f t="shared" si="8"/>
        <v>0.7757939038</v>
      </c>
      <c r="D47" s="1">
        <f t="shared" si="9"/>
        <v>0.8853453841</v>
      </c>
      <c r="E47" s="1">
        <f t="shared" si="10"/>
        <v>0.8793474137</v>
      </c>
      <c r="F47" s="1">
        <f t="shared" si="11"/>
        <v>1</v>
      </c>
      <c r="G47" s="1">
        <f t="shared" si="12"/>
        <v>0.9429585499</v>
      </c>
      <c r="H47" s="1">
        <f t="shared" si="13"/>
        <v>0.8850427896</v>
      </c>
      <c r="I47" s="1">
        <f t="shared" si="14"/>
        <v>0.9797727556</v>
      </c>
      <c r="J47" s="1">
        <f t="shared" si="15"/>
        <v>0.9730303409</v>
      </c>
      <c r="K47" s="1">
        <f t="shared" si="16"/>
        <v>0.9819118201</v>
      </c>
      <c r="L47" s="1">
        <f t="shared" si="17"/>
        <v>1.021112994</v>
      </c>
      <c r="M47" s="1">
        <f t="shared" si="18"/>
        <v>0.980058801</v>
      </c>
      <c r="N47" s="1">
        <f t="shared" si="19"/>
        <v>0.991357863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2.75" customHeight="1">
      <c r="A48" s="26"/>
      <c r="B48" s="26"/>
      <c r="C48" s="1">
        <f t="shared" si="8"/>
        <v>0.1712791736</v>
      </c>
      <c r="D48" s="1">
        <f t="shared" si="9"/>
        <v>0.2361523564</v>
      </c>
      <c r="E48" s="1">
        <f t="shared" si="10"/>
        <v>0.22220817</v>
      </c>
      <c r="F48" s="1">
        <f t="shared" si="11"/>
        <v>0.09375394322</v>
      </c>
      <c r="G48" s="1">
        <f t="shared" si="12"/>
        <v>0.07897071872</v>
      </c>
      <c r="H48" s="1">
        <f t="shared" si="13"/>
        <v>0.05888363776</v>
      </c>
      <c r="I48" s="1">
        <f t="shared" si="14"/>
        <v>0.3107753777</v>
      </c>
      <c r="J48" s="1">
        <f t="shared" si="15"/>
        <v>0.1407166937</v>
      </c>
      <c r="K48" s="1">
        <f t="shared" si="16"/>
        <v>0.1898002763</v>
      </c>
      <c r="L48" s="1">
        <f t="shared" si="17"/>
        <v>0.4534080542</v>
      </c>
      <c r="M48" s="1">
        <f t="shared" si="18"/>
        <v>0.369551323</v>
      </c>
      <c r="N48" s="1">
        <f t="shared" si="19"/>
        <v>0.3793374362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2.75" customHeight="1">
      <c r="A49" s="26"/>
      <c r="B49" s="26"/>
      <c r="C49" s="1">
        <f t="shared" si="8"/>
        <v>0.05802831272</v>
      </c>
      <c r="D49" s="1">
        <f t="shared" si="9"/>
        <v>0.07501613944</v>
      </c>
      <c r="E49" s="1">
        <f t="shared" si="10"/>
        <v>0.07272037435</v>
      </c>
      <c r="F49" s="1">
        <f t="shared" si="11"/>
        <v>0.007444794953</v>
      </c>
      <c r="G49" s="1">
        <f t="shared" si="12"/>
        <v>0.009760425909</v>
      </c>
      <c r="H49" s="1">
        <f t="shared" si="13"/>
        <v>0.006769702389</v>
      </c>
      <c r="I49" s="1">
        <f t="shared" si="14"/>
        <v>0.0275939568</v>
      </c>
      <c r="J49" s="1">
        <f t="shared" si="15"/>
        <v>0.01410912723</v>
      </c>
      <c r="K49" s="1">
        <f t="shared" si="16"/>
        <v>0.02022359</v>
      </c>
      <c r="L49" s="1">
        <f t="shared" si="17"/>
        <v>0.0772839828</v>
      </c>
      <c r="M49" s="1">
        <f t="shared" si="18"/>
        <v>0.07503515275</v>
      </c>
      <c r="N49" s="1">
        <f t="shared" si="19"/>
        <v>0.07607699358</v>
      </c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2.75" customHeight="1">
      <c r="A50" s="26"/>
      <c r="B50" s="26"/>
      <c r="C50" s="1">
        <f t="shared" si="8"/>
        <v>0.01517663563</v>
      </c>
      <c r="D50" s="1">
        <f t="shared" si="9"/>
        <v>0.02388637831</v>
      </c>
      <c r="E50" s="1">
        <f t="shared" si="10"/>
        <v>0.01808524093</v>
      </c>
      <c r="F50" s="1">
        <f t="shared" si="11"/>
        <v>0.004416403785</v>
      </c>
      <c r="G50" s="1">
        <f t="shared" si="12"/>
        <v>0.002915451895</v>
      </c>
      <c r="H50" s="1">
        <f t="shared" si="13"/>
        <v>0.002171413974</v>
      </c>
      <c r="I50" s="1">
        <f t="shared" si="14"/>
        <v>0.008865026845</v>
      </c>
      <c r="J50" s="1">
        <f t="shared" si="15"/>
        <v>0.005119240854</v>
      </c>
      <c r="K50" s="1">
        <f t="shared" si="16"/>
        <v>0.005150106771</v>
      </c>
      <c r="L50" s="1">
        <f t="shared" si="17"/>
        <v>0.01785481559</v>
      </c>
      <c r="M50" s="1">
        <f t="shared" si="18"/>
        <v>0.02211427841</v>
      </c>
      <c r="N50" s="1">
        <f t="shared" si="19"/>
        <v>0.01322508839</v>
      </c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2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2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2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2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2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2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2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2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2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2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2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2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2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2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2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2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2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2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2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2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2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2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2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2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2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2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2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2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2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2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2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2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2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2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2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2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2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2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2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2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2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2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2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2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2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2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2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2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2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2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2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2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2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2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2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2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2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2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2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2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2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2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2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2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2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2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2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2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2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2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2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2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2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2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2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2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2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2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2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2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2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2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2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2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2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2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2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2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2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2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2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2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2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2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2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2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2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2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2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2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2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2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2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2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2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2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2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2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2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2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2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2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2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2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2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2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2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2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2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2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2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2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2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2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2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2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2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2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2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2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2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2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2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2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2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2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2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2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2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2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2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2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2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2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2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2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2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2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2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2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2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2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2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2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2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2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2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2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2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2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2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2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2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2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2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2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2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2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2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2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2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2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2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2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2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2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2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2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2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2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2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2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2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2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2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2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2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2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2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2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2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2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2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2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2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2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2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2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2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2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2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2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2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2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2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2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2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2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2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2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2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2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2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2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2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2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2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2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2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2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2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2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2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2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2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2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2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2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2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2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2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2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2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2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2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2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2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2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2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2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2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2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2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2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2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2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2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2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2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2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2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2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2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2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2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2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2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2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2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2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2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2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2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2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2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2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2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2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2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2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2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2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2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2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2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2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2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2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2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2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2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2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2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2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2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2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2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2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2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2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2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2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2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2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2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2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2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2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2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2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2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2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2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2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2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2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2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2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2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2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2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2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2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2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2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2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2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2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2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2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2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2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2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2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2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2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2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2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2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2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2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2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2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2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2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2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2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2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2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2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2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2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2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2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2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2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2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2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2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2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2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2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2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2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2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2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2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2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2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2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2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2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2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2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2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2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2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2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2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2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2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2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2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2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2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2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2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2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2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2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2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2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2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2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2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2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2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2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2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2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2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2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2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2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2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2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2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2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2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2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2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2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2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2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2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2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2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2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2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2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2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2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2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2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2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2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2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2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2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2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2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2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2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2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2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2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2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2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2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2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2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2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2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2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2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2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2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2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2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2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2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2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2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2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2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2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2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2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2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2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2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2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2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2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2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2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2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2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2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2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2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2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2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2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2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2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2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2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2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2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2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2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2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2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2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2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2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2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2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2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2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2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2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2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2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2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2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2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2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2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2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2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2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2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2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2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2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2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2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2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2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2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2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2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2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2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2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2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2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2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2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2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2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2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2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2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2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2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2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2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2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2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2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2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2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2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2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2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2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2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2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2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2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2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2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2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2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2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2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2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2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2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2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2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2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2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2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2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2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2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2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2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2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2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2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2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2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2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2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2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2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2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2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2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2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2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2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2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2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2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2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2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2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2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2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2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2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2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2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2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2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2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2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2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2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2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2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2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2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2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2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2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2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2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2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2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2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2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2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2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2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2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2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2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2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2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2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2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2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2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2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2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2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2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2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2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2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2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2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2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2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2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2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2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2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2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2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2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2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2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2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2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2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2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2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2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2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2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2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2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2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2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2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2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2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2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2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2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2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2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2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2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2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2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2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2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2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2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2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2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2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2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2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2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2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2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2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2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2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2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2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2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2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2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2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2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2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2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2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2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2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2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2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2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2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2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2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2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2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2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2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2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2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2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2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2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2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2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2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2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2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2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2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2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2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2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2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2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2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2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2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2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2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2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2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2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2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2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2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2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2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2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2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2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2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2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2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2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2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2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2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2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2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2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2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2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2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2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2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2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2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2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2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2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2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2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2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2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2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2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2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2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2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2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2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2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2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2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2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2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2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2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2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2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2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2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2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2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2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2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2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2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2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2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2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2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2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2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2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2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2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2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2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2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2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2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2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2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2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2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2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2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2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2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2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2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2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2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2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2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2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2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2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2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2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2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2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2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2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2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2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2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2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2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2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2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2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2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2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2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2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2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2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2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2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2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2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2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2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2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2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2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2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2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2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Plate Reader Access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