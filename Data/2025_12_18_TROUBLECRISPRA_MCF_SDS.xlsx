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-897555360</definedName>
    <definedName name="MethodPointer2">401</definedName>
  </definedNames>
  <calcPr/>
  <extLst>
    <ext uri="GoogleSheetsCustomDataVersion2">
      <go:sheetsCustomData xmlns:go="http://customooxmlschemas.google.com/" r:id="rId7" roundtripDataChecksum="bj98zjNgVxT2p8bMHw0K+QzFRdPN6H9ZFBcWHbAdybU="/>
    </ext>
  </extLst>
</workbook>
</file>

<file path=xl/sharedStrings.xml><?xml version="1.0" encoding="utf-8"?>
<sst xmlns="http://schemas.openxmlformats.org/spreadsheetml/2006/main" count="160" uniqueCount="46">
  <si>
    <t>Software Version</t>
  </si>
  <si>
    <t>3.16.10</t>
  </si>
  <si>
    <t>Experiment File Path:</t>
  </si>
  <si>
    <t>C:\Users\Plate Reader Access\Desktop\Selmecki lab\Erika\2025_12_18_TROUBLECRISPRA_MCF_SDS.xpt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</si>
  <si>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</si>
  <si>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</si>
  <si>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</si>
  <si>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</si>
  <si>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</si>
  <si>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</si>
  <si>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</si>
  <si>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</si>
  <si>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</si>
  <si>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</si>
  <si>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</si>
  <si>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</si>
  <si>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</si>
  <si>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</si>
  <si>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</si>
  <si>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</si>
  <si>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</si>
  <si>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</si>
  <si>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</si>
  <si>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</si>
  <si>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</si>
  <si>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</si>
  <si>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</si>
  <si>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</si>
  <si>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</si>
  <si>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</si>
  <si>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</si>
  <si>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</si>
  <si>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</si>
  <si>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</si>
  <si>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SDS</t>
  </si>
  <si>
    <t>C9</t>
  </si>
  <si>
    <t>C10</t>
  </si>
  <si>
    <t>no drug</t>
  </si>
  <si>
    <t>Plate 2</t>
  </si>
  <si>
    <t>C31</t>
  </si>
  <si>
    <t>C32</t>
  </si>
  <si>
    <t>C33</t>
  </si>
  <si>
    <t>C30</t>
  </si>
  <si>
    <t>C25</t>
  </si>
  <si>
    <t>Reorganized by mutant, removing C32, the odd one out - C303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</si>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</sst>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D8E9F9"/>
        <bgColor rgb="FFD8E9F9"/>
      </patternFill>
    </fill>
    <fill>
      <patternFill patternType="solid">
        <fgColor rgb="FF428EC7"/>
        <bgColor rgb="FF428EC7"/>
      </patternFill>
    </fill>
    <fill>
      <patternFill patternType="solid">
        <fgColor rgb="FF5197CC"/>
        <bgColor rgb="FF5197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2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3">
        <v>46009.0</v>
      </c>
    </row>
    <row r="8" ht="12.75" customHeight="1">
      <c r="A8" s="1" t="s">
        <v>9</v>
      </c>
      <c r="B8" s="4">
        <v>0.623449074074074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2.5030902E7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5" t="s">
        <v>15</v>
      </c>
      <c r="B13" s="6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5" t="s">
        <v>24</v>
      </c>
      <c r="B21" s="6"/>
    </row>
    <row r="22" ht="12.75" customHeight="1">
      <c r="A22" s="1" t="s">
        <v>25</v>
      </c>
      <c r="B22" s="1">
        <v>29.9</v>
      </c>
    </row>
    <row r="23" ht="12.75" customHeight="1"/>
    <row r="24" ht="12.75" customHeight="1"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</row>
    <row r="25" ht="12.75" customHeight="1">
      <c r="B25" s="8" t="s">
        <v>26</v>
      </c>
      <c r="C25" s="9">
        <v>0.097</v>
      </c>
      <c r="D25" s="9">
        <v>0.096</v>
      </c>
      <c r="E25" s="9">
        <v>0.096</v>
      </c>
      <c r="F25" s="9">
        <v>0.099</v>
      </c>
      <c r="G25" s="9">
        <v>0.096</v>
      </c>
      <c r="H25" s="9">
        <v>0.096</v>
      </c>
      <c r="I25" s="9">
        <v>0.096</v>
      </c>
      <c r="J25" s="9">
        <v>0.096</v>
      </c>
      <c r="K25" s="9">
        <v>0.097</v>
      </c>
      <c r="L25" s="9">
        <v>0.096</v>
      </c>
      <c r="M25" s="9">
        <v>0.097</v>
      </c>
      <c r="N25" s="9">
        <v>0.097</v>
      </c>
      <c r="O25" s="10">
        <v>600.0</v>
      </c>
      <c r="P25" s="1">
        <f>AVERAGE(C25:K25)</f>
        <v>0.09655555556</v>
      </c>
    </row>
    <row r="26" ht="12.75" customHeight="1">
      <c r="B26" s="8" t="s">
        <v>27</v>
      </c>
      <c r="C26" s="11">
        <v>1.373</v>
      </c>
      <c r="D26" s="11">
        <v>1.354</v>
      </c>
      <c r="E26" s="11">
        <v>1.352</v>
      </c>
      <c r="F26" s="11">
        <v>1.364</v>
      </c>
      <c r="G26" s="11">
        <v>1.358</v>
      </c>
      <c r="H26" s="11">
        <v>1.357</v>
      </c>
      <c r="I26" s="11">
        <v>1.367</v>
      </c>
      <c r="J26" s="11">
        <v>1.363</v>
      </c>
      <c r="K26" s="11">
        <v>1.361</v>
      </c>
      <c r="L26" s="9">
        <v>0.119</v>
      </c>
      <c r="M26" s="9">
        <v>0.127</v>
      </c>
      <c r="N26" s="9">
        <v>0.095</v>
      </c>
      <c r="O26" s="10">
        <v>600.0</v>
      </c>
    </row>
    <row r="27" ht="12.75" customHeight="1">
      <c r="B27" s="8" t="s">
        <v>28</v>
      </c>
      <c r="C27" s="11">
        <v>1.349</v>
      </c>
      <c r="D27" s="11">
        <v>1.334</v>
      </c>
      <c r="E27" s="11">
        <v>1.333</v>
      </c>
      <c r="F27" s="11">
        <v>1.408</v>
      </c>
      <c r="G27" s="11">
        <v>1.409</v>
      </c>
      <c r="H27" s="11">
        <v>1.397</v>
      </c>
      <c r="I27" s="11">
        <v>1.357</v>
      </c>
      <c r="J27" s="11">
        <v>1.359</v>
      </c>
      <c r="K27" s="11">
        <v>1.354</v>
      </c>
      <c r="L27" s="9">
        <v>0.122</v>
      </c>
      <c r="M27" s="9">
        <v>0.121</v>
      </c>
      <c r="N27" s="9">
        <v>0.094</v>
      </c>
      <c r="O27" s="10">
        <v>600.0</v>
      </c>
    </row>
    <row r="28" ht="12.75" customHeight="1">
      <c r="B28" s="8" t="s">
        <v>29</v>
      </c>
      <c r="C28" s="11">
        <v>1.327</v>
      </c>
      <c r="D28" s="11">
        <v>1.326</v>
      </c>
      <c r="E28" s="11">
        <v>1.352</v>
      </c>
      <c r="F28" s="11">
        <v>1.363</v>
      </c>
      <c r="G28" s="11">
        <v>1.379</v>
      </c>
      <c r="H28" s="11">
        <v>1.368</v>
      </c>
      <c r="I28" s="11">
        <v>1.4</v>
      </c>
      <c r="J28" s="11">
        <v>1.366</v>
      </c>
      <c r="K28" s="11">
        <v>1.37</v>
      </c>
      <c r="L28" s="9">
        <v>0.119</v>
      </c>
      <c r="M28" s="9">
        <v>0.105</v>
      </c>
      <c r="N28" s="9">
        <v>0.096</v>
      </c>
      <c r="O28" s="10">
        <v>600.0</v>
      </c>
    </row>
    <row r="29" ht="12.75" customHeight="1">
      <c r="B29" s="8" t="s">
        <v>30</v>
      </c>
      <c r="C29" s="12">
        <v>1.262</v>
      </c>
      <c r="D29" s="12">
        <v>1.286</v>
      </c>
      <c r="E29" s="11">
        <v>1.334</v>
      </c>
      <c r="F29" s="12">
        <v>1.311</v>
      </c>
      <c r="G29" s="11">
        <v>1.331</v>
      </c>
      <c r="H29" s="11">
        <v>1.342</v>
      </c>
      <c r="I29" s="12">
        <v>1.303</v>
      </c>
      <c r="J29" s="11">
        <v>1.361</v>
      </c>
      <c r="K29" s="11">
        <v>1.32</v>
      </c>
      <c r="L29" s="9">
        <v>0.116</v>
      </c>
      <c r="M29" s="9">
        <v>0.095</v>
      </c>
      <c r="N29" s="9">
        <v>0.101</v>
      </c>
      <c r="O29" s="10">
        <v>600.0</v>
      </c>
    </row>
    <row r="30" ht="12.75" customHeight="1">
      <c r="B30" s="8" t="s">
        <v>31</v>
      </c>
      <c r="C30" s="13">
        <v>0.198</v>
      </c>
      <c r="D30" s="13">
        <v>0.251</v>
      </c>
      <c r="E30" s="13">
        <v>0.24</v>
      </c>
      <c r="F30" s="13">
        <v>0.223</v>
      </c>
      <c r="G30" s="13">
        <v>0.281</v>
      </c>
      <c r="H30" s="13">
        <v>0.281</v>
      </c>
      <c r="I30" s="13">
        <v>0.222</v>
      </c>
      <c r="J30" s="13">
        <v>0.247</v>
      </c>
      <c r="K30" s="13">
        <v>0.276</v>
      </c>
      <c r="L30" s="9">
        <v>0.112</v>
      </c>
      <c r="M30" s="9">
        <v>0.095</v>
      </c>
      <c r="N30" s="9">
        <v>0.095</v>
      </c>
      <c r="O30" s="10">
        <v>600.0</v>
      </c>
    </row>
    <row r="31" ht="12.75" customHeight="1">
      <c r="B31" s="8" t="s">
        <v>32</v>
      </c>
      <c r="C31" s="9">
        <v>0.11</v>
      </c>
      <c r="D31" s="9">
        <v>0.112</v>
      </c>
      <c r="E31" s="9">
        <v>0.116</v>
      </c>
      <c r="F31" s="9">
        <v>0.133</v>
      </c>
      <c r="G31" s="9">
        <v>0.127</v>
      </c>
      <c r="H31" s="9">
        <v>0.13</v>
      </c>
      <c r="I31" s="9">
        <v>0.109</v>
      </c>
      <c r="J31" s="9">
        <v>0.109</v>
      </c>
      <c r="K31" s="9">
        <v>0.111</v>
      </c>
      <c r="L31" s="9">
        <v>0.095</v>
      </c>
      <c r="M31" s="9">
        <v>0.095</v>
      </c>
      <c r="N31" s="9">
        <v>0.094</v>
      </c>
      <c r="O31" s="10">
        <v>600.0</v>
      </c>
    </row>
    <row r="32" ht="12.75" customHeight="1">
      <c r="B32" s="8" t="s">
        <v>33</v>
      </c>
      <c r="C32" s="9">
        <v>0.106</v>
      </c>
      <c r="D32" s="9">
        <v>0.102</v>
      </c>
      <c r="E32" s="9">
        <v>0.102</v>
      </c>
      <c r="F32" s="9">
        <v>0.104</v>
      </c>
      <c r="G32" s="9">
        <v>0.102</v>
      </c>
      <c r="H32" s="9">
        <v>0.101</v>
      </c>
      <c r="I32" s="9">
        <v>0.102</v>
      </c>
      <c r="J32" s="9">
        <v>0.101</v>
      </c>
      <c r="K32" s="9">
        <v>0.101</v>
      </c>
      <c r="L32" s="9">
        <v>0.094</v>
      </c>
      <c r="M32" s="9">
        <v>0.097</v>
      </c>
      <c r="N32" s="9">
        <v>0.097</v>
      </c>
      <c r="O32" s="10">
        <v>600.0</v>
      </c>
    </row>
    <row r="33" ht="12.75" customHeight="1"/>
    <row r="34" ht="12.75" customHeight="1"/>
    <row r="35" ht="12.75" customHeight="1">
      <c r="C35" s="2">
        <f t="shared" ref="C35:K35" si="1">C26-$P$25</f>
        <v>1.276444444</v>
      </c>
      <c r="D35" s="2">
        <f t="shared" si="1"/>
        <v>1.257444444</v>
      </c>
      <c r="E35" s="2">
        <f t="shared" si="1"/>
        <v>1.255444444</v>
      </c>
      <c r="F35" s="2">
        <f t="shared" si="1"/>
        <v>1.267444444</v>
      </c>
      <c r="G35" s="2">
        <f t="shared" si="1"/>
        <v>1.261444444</v>
      </c>
      <c r="H35" s="2">
        <f t="shared" si="1"/>
        <v>1.260444444</v>
      </c>
      <c r="I35" s="2">
        <f t="shared" si="1"/>
        <v>1.270444444</v>
      </c>
      <c r="J35" s="2">
        <f t="shared" si="1"/>
        <v>1.266444444</v>
      </c>
      <c r="K35" s="2">
        <f t="shared" si="1"/>
        <v>1.264444444</v>
      </c>
      <c r="L35" s="2"/>
      <c r="M35" s="2"/>
      <c r="N35" s="2"/>
    </row>
    <row r="36" ht="12.75" customHeight="1">
      <c r="C36" s="2">
        <f t="shared" ref="C36:K36" si="2">C27-$P$25</f>
        <v>1.252444444</v>
      </c>
      <c r="D36" s="2">
        <f t="shared" si="2"/>
        <v>1.237444444</v>
      </c>
      <c r="E36" s="2">
        <f t="shared" si="2"/>
        <v>1.236444444</v>
      </c>
      <c r="F36" s="2">
        <f t="shared" si="2"/>
        <v>1.311444444</v>
      </c>
      <c r="G36" s="2">
        <f t="shared" si="2"/>
        <v>1.312444444</v>
      </c>
      <c r="H36" s="2">
        <f t="shared" si="2"/>
        <v>1.300444444</v>
      </c>
      <c r="I36" s="2">
        <f t="shared" si="2"/>
        <v>1.260444444</v>
      </c>
      <c r="J36" s="2">
        <f t="shared" si="2"/>
        <v>1.262444444</v>
      </c>
      <c r="K36" s="2">
        <f t="shared" si="2"/>
        <v>1.257444444</v>
      </c>
      <c r="L36" s="2"/>
      <c r="M36" s="2"/>
      <c r="N36" s="2"/>
    </row>
    <row r="37" ht="12.75" customHeight="1">
      <c r="C37" s="2">
        <f t="shared" ref="C37:K37" si="3">C28-$P$25</f>
        <v>1.230444444</v>
      </c>
      <c r="D37" s="2">
        <f t="shared" si="3"/>
        <v>1.229444444</v>
      </c>
      <c r="E37" s="2">
        <f t="shared" si="3"/>
        <v>1.255444444</v>
      </c>
      <c r="F37" s="2">
        <f t="shared" si="3"/>
        <v>1.266444444</v>
      </c>
      <c r="G37" s="2">
        <f t="shared" si="3"/>
        <v>1.282444444</v>
      </c>
      <c r="H37" s="2">
        <f t="shared" si="3"/>
        <v>1.271444444</v>
      </c>
      <c r="I37" s="2">
        <f t="shared" si="3"/>
        <v>1.303444444</v>
      </c>
      <c r="J37" s="2">
        <f t="shared" si="3"/>
        <v>1.269444444</v>
      </c>
      <c r="K37" s="2">
        <f t="shared" si="3"/>
        <v>1.273444444</v>
      </c>
      <c r="L37" s="2"/>
      <c r="M37" s="2"/>
      <c r="N37" s="2"/>
    </row>
    <row r="38" ht="12.75" customHeight="1">
      <c r="C38" s="2">
        <f t="shared" ref="C38:K38" si="4">C29-$P$25</f>
        <v>1.165444444</v>
      </c>
      <c r="D38" s="2">
        <f t="shared" si="4"/>
        <v>1.189444444</v>
      </c>
      <c r="E38" s="2">
        <f t="shared" si="4"/>
        <v>1.237444444</v>
      </c>
      <c r="F38" s="2">
        <f t="shared" si="4"/>
        <v>1.214444444</v>
      </c>
      <c r="G38" s="2">
        <f t="shared" si="4"/>
        <v>1.234444444</v>
      </c>
      <c r="H38" s="2">
        <f t="shared" si="4"/>
        <v>1.245444444</v>
      </c>
      <c r="I38" s="2">
        <f t="shared" si="4"/>
        <v>1.206444444</v>
      </c>
      <c r="J38" s="2">
        <f t="shared" si="4"/>
        <v>1.264444444</v>
      </c>
      <c r="K38" s="2">
        <f t="shared" si="4"/>
        <v>1.223444444</v>
      </c>
      <c r="L38" s="2"/>
      <c r="M38" s="2"/>
      <c r="N38" s="2"/>
    </row>
    <row r="39" ht="12.75" customHeight="1">
      <c r="C39" s="2">
        <f t="shared" ref="C39:K39" si="5">C30-$P$25</f>
        <v>0.1014444444</v>
      </c>
      <c r="D39" s="2">
        <f t="shared" si="5"/>
        <v>0.1544444444</v>
      </c>
      <c r="E39" s="2">
        <f t="shared" si="5"/>
        <v>0.1434444444</v>
      </c>
      <c r="F39" s="2">
        <f t="shared" si="5"/>
        <v>0.1264444444</v>
      </c>
      <c r="G39" s="2">
        <f t="shared" si="5"/>
        <v>0.1844444444</v>
      </c>
      <c r="H39" s="2">
        <f t="shared" si="5"/>
        <v>0.1844444444</v>
      </c>
      <c r="I39" s="2">
        <f t="shared" si="5"/>
        <v>0.1254444444</v>
      </c>
      <c r="J39" s="2">
        <f t="shared" si="5"/>
        <v>0.1504444444</v>
      </c>
      <c r="K39" s="2">
        <f t="shared" si="5"/>
        <v>0.1794444444</v>
      </c>
      <c r="L39" s="2"/>
      <c r="M39" s="2"/>
      <c r="N39" s="2"/>
    </row>
    <row r="40" ht="12.75" customHeight="1">
      <c r="C40" s="2">
        <f t="shared" ref="C40:K40" si="6">C31-$P$25</f>
        <v>0.01344444444</v>
      </c>
      <c r="D40" s="2">
        <f t="shared" si="6"/>
        <v>0.01544444444</v>
      </c>
      <c r="E40" s="2">
        <f t="shared" si="6"/>
        <v>0.01944444444</v>
      </c>
      <c r="F40" s="2">
        <f t="shared" si="6"/>
        <v>0.03644444444</v>
      </c>
      <c r="G40" s="2">
        <f t="shared" si="6"/>
        <v>0.03044444444</v>
      </c>
      <c r="H40" s="2">
        <f t="shared" si="6"/>
        <v>0.03344444444</v>
      </c>
      <c r="I40" s="2">
        <f t="shared" si="6"/>
        <v>0.01244444444</v>
      </c>
      <c r="J40" s="2">
        <f t="shared" si="6"/>
        <v>0.01244444444</v>
      </c>
      <c r="K40" s="2">
        <f t="shared" si="6"/>
        <v>0.01444444444</v>
      </c>
      <c r="L40" s="2"/>
      <c r="M40" s="2"/>
      <c r="N40" s="2"/>
    </row>
    <row r="41" ht="12.75" customHeight="1">
      <c r="C41" s="2">
        <f t="shared" ref="C41:K41" si="7">C32-$P$25</f>
        <v>0.009444444444</v>
      </c>
      <c r="D41" s="2">
        <f t="shared" si="7"/>
        <v>0.005444444444</v>
      </c>
      <c r="E41" s="2">
        <f t="shared" si="7"/>
        <v>0.005444444444</v>
      </c>
      <c r="F41" s="2">
        <f t="shared" si="7"/>
        <v>0.007444444444</v>
      </c>
      <c r="G41" s="2">
        <f t="shared" si="7"/>
        <v>0.005444444444</v>
      </c>
      <c r="H41" s="2">
        <f t="shared" si="7"/>
        <v>0.004444444444</v>
      </c>
      <c r="I41" s="2">
        <f t="shared" si="7"/>
        <v>0.005444444444</v>
      </c>
      <c r="J41" s="2">
        <f t="shared" si="7"/>
        <v>0.004444444444</v>
      </c>
      <c r="K41" s="2">
        <f t="shared" si="7"/>
        <v>0.004444444444</v>
      </c>
      <c r="L41" s="2"/>
      <c r="M41" s="2"/>
      <c r="N41" s="2"/>
    </row>
    <row r="42" ht="12.7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2.7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2.75" customHeight="1">
      <c r="C44" s="2">
        <f t="shared" ref="C44:C50" si="8">C35/$C$35</f>
        <v>1</v>
      </c>
      <c r="D44" s="2">
        <f t="shared" ref="D44:D50" si="9">D35/$D$35</f>
        <v>1</v>
      </c>
      <c r="E44" s="2">
        <f t="shared" ref="E44:E50" si="10">E35/$E$35</f>
        <v>1</v>
      </c>
      <c r="F44" s="2">
        <f t="shared" ref="F44:F50" si="11">F35/$F$35</f>
        <v>1</v>
      </c>
      <c r="G44" s="2">
        <f t="shared" ref="G44:G50" si="12">G35/$G$35</f>
        <v>1</v>
      </c>
      <c r="H44" s="2">
        <f t="shared" ref="H44:H50" si="13">H35/$H$35</f>
        <v>1</v>
      </c>
      <c r="I44" s="2">
        <f t="shared" ref="I44:I50" si="14">I35/$I$35</f>
        <v>1</v>
      </c>
      <c r="J44" s="2">
        <f t="shared" ref="J44:J50" si="15">J35/$J$35</f>
        <v>1</v>
      </c>
      <c r="K44" s="2">
        <f t="shared" ref="K44:K50" si="16">K35/$K$35</f>
        <v>1</v>
      </c>
      <c r="L44" s="2"/>
      <c r="M44" s="2"/>
      <c r="N44" s="2"/>
    </row>
    <row r="45" ht="12.75" customHeight="1">
      <c r="C45" s="2">
        <f t="shared" si="8"/>
        <v>0.9811977716</v>
      </c>
      <c r="D45" s="2">
        <f t="shared" si="9"/>
        <v>0.9840947248</v>
      </c>
      <c r="E45" s="2">
        <f t="shared" si="10"/>
        <v>0.9848659173</v>
      </c>
      <c r="F45" s="2">
        <f t="shared" si="11"/>
        <v>1.034715526</v>
      </c>
      <c r="G45" s="2">
        <f t="shared" si="12"/>
        <v>1.040429842</v>
      </c>
      <c r="H45" s="2">
        <f t="shared" si="13"/>
        <v>1.031734838</v>
      </c>
      <c r="I45" s="2">
        <f t="shared" si="14"/>
        <v>0.9921287388</v>
      </c>
      <c r="J45" s="2">
        <f t="shared" si="15"/>
        <v>0.9968415511</v>
      </c>
      <c r="K45" s="2">
        <f t="shared" si="16"/>
        <v>0.9944639719</v>
      </c>
      <c r="L45" s="2"/>
      <c r="M45" s="2"/>
      <c r="N45" s="2"/>
    </row>
    <row r="46" ht="12.75" customHeight="1">
      <c r="C46" s="2">
        <f t="shared" si="8"/>
        <v>0.9639623955</v>
      </c>
      <c r="D46" s="2">
        <f t="shared" si="9"/>
        <v>0.9777326147</v>
      </c>
      <c r="E46" s="2">
        <f t="shared" si="10"/>
        <v>1</v>
      </c>
      <c r="F46" s="2">
        <f t="shared" si="11"/>
        <v>0.9992110108</v>
      </c>
      <c r="G46" s="2">
        <f t="shared" si="12"/>
        <v>1.016647582</v>
      </c>
      <c r="H46" s="2">
        <f t="shared" si="13"/>
        <v>1.00872708</v>
      </c>
      <c r="I46" s="2">
        <f t="shared" si="14"/>
        <v>1.025975162</v>
      </c>
      <c r="J46" s="2">
        <f t="shared" si="15"/>
        <v>1.002368837</v>
      </c>
      <c r="K46" s="2">
        <f t="shared" si="16"/>
        <v>1.00711775</v>
      </c>
      <c r="L46" s="2"/>
      <c r="M46" s="2"/>
      <c r="N46" s="2"/>
    </row>
    <row r="47" ht="12.75" customHeight="1">
      <c r="C47" s="2">
        <f t="shared" si="8"/>
        <v>0.9130396936</v>
      </c>
      <c r="D47" s="2">
        <f t="shared" si="9"/>
        <v>0.9459220642</v>
      </c>
      <c r="E47" s="2">
        <f t="shared" si="10"/>
        <v>0.985662448</v>
      </c>
      <c r="F47" s="2">
        <f t="shared" si="11"/>
        <v>0.9581835715</v>
      </c>
      <c r="G47" s="2">
        <f t="shared" si="12"/>
        <v>0.9785959658</v>
      </c>
      <c r="H47" s="2">
        <f t="shared" si="13"/>
        <v>0.9880994358</v>
      </c>
      <c r="I47" s="2">
        <f t="shared" si="14"/>
        <v>0.9496239286</v>
      </c>
      <c r="J47" s="2">
        <f t="shared" si="15"/>
        <v>0.9984207756</v>
      </c>
      <c r="K47" s="2">
        <f t="shared" si="16"/>
        <v>0.9675746924</v>
      </c>
      <c r="L47" s="2"/>
      <c r="M47" s="2"/>
      <c r="N47" s="2"/>
    </row>
    <row r="48" ht="12.75" customHeight="1">
      <c r="C48" s="2">
        <f t="shared" si="8"/>
        <v>0.07947423398</v>
      </c>
      <c r="D48" s="2">
        <f t="shared" si="9"/>
        <v>0.12282407</v>
      </c>
      <c r="E48" s="2">
        <f t="shared" si="10"/>
        <v>0.1142578989</v>
      </c>
      <c r="F48" s="2">
        <f t="shared" si="11"/>
        <v>0.09976330323</v>
      </c>
      <c r="G48" s="2">
        <f t="shared" si="12"/>
        <v>0.146216859</v>
      </c>
      <c r="H48" s="2">
        <f t="shared" si="13"/>
        <v>0.1463328632</v>
      </c>
      <c r="I48" s="2">
        <f t="shared" si="14"/>
        <v>0.09874059822</v>
      </c>
      <c r="J48" s="2">
        <f t="shared" si="15"/>
        <v>0.1187927707</v>
      </c>
      <c r="K48" s="2">
        <f t="shared" si="16"/>
        <v>0.1419156415</v>
      </c>
      <c r="L48" s="2"/>
      <c r="M48" s="2"/>
      <c r="N48" s="2"/>
    </row>
    <row r="49" ht="12.75" customHeight="1">
      <c r="C49" s="2">
        <f t="shared" si="8"/>
        <v>0.01053272981</v>
      </c>
      <c r="D49" s="2">
        <f t="shared" si="9"/>
        <v>0.012282407</v>
      </c>
      <c r="E49" s="2">
        <f t="shared" si="10"/>
        <v>0.01548809629</v>
      </c>
      <c r="F49" s="2">
        <f t="shared" si="11"/>
        <v>0.02875427369</v>
      </c>
      <c r="G49" s="2">
        <f t="shared" si="12"/>
        <v>0.02413458998</v>
      </c>
      <c r="H49" s="2">
        <f t="shared" si="13"/>
        <v>0.02653385049</v>
      </c>
      <c r="I49" s="2">
        <f t="shared" si="14"/>
        <v>0.00979534721</v>
      </c>
      <c r="J49" s="2">
        <f t="shared" si="15"/>
        <v>0.009826285313</v>
      </c>
      <c r="K49" s="2">
        <f t="shared" si="16"/>
        <v>0.01142355009</v>
      </c>
      <c r="L49" s="2"/>
      <c r="M49" s="2"/>
      <c r="N49" s="2"/>
    </row>
    <row r="50" ht="12.75" customHeight="1">
      <c r="C50" s="2">
        <f t="shared" si="8"/>
        <v>0.00739902507</v>
      </c>
      <c r="D50" s="2">
        <f t="shared" si="9"/>
        <v>0.004329769374</v>
      </c>
      <c r="E50" s="2">
        <f t="shared" si="10"/>
        <v>0.004336666962</v>
      </c>
      <c r="F50" s="2">
        <f t="shared" si="11"/>
        <v>0.005873586394</v>
      </c>
      <c r="G50" s="2">
        <f t="shared" si="12"/>
        <v>0.004316039813</v>
      </c>
      <c r="H50" s="2">
        <f t="shared" si="13"/>
        <v>0.003526093089</v>
      </c>
      <c r="I50" s="2">
        <f t="shared" si="14"/>
        <v>0.004285464404</v>
      </c>
      <c r="J50" s="2">
        <f t="shared" si="15"/>
        <v>0.003509387612</v>
      </c>
      <c r="K50" s="2">
        <f t="shared" si="16"/>
        <v>0.003514938489</v>
      </c>
      <c r="L50" s="2"/>
      <c r="M50" s="2"/>
      <c r="N50" s="2"/>
    </row>
    <row r="51" ht="12.75" customHeight="1"/>
    <row r="52" ht="12.75" customHeight="1"/>
    <row r="53" ht="12.75" customHeight="1">
      <c r="C53" s="14" t="s">
        <v>34</v>
      </c>
      <c r="D53" s="1">
        <v>2875.0</v>
      </c>
      <c r="E53" s="1" t="s">
        <v>35</v>
      </c>
      <c r="F53" s="1" t="s">
        <v>36</v>
      </c>
    </row>
    <row r="54" ht="12.75" customHeight="1">
      <c r="C54" s="14" t="s">
        <v>37</v>
      </c>
      <c r="D54" s="1">
        <f t="shared" ref="D54:F54" si="17">AVERAGE(C44,F44,I44)</f>
        <v>1</v>
      </c>
      <c r="E54" s="1">
        <f t="shared" si="17"/>
        <v>1</v>
      </c>
      <c r="F54" s="1">
        <f t="shared" si="17"/>
        <v>1</v>
      </c>
    </row>
    <row r="55" ht="12.75" customHeight="1">
      <c r="C55" s="15">
        <v>5.0E-5</v>
      </c>
      <c r="D55" s="1">
        <f t="shared" ref="D55:F55" si="18">AVERAGE(C45,F45,I45)</f>
        <v>1.002680679</v>
      </c>
      <c r="E55" s="1">
        <f t="shared" si="18"/>
        <v>1.007122039</v>
      </c>
      <c r="F55" s="1">
        <f t="shared" si="18"/>
        <v>1.003688242</v>
      </c>
    </row>
    <row r="56" ht="12.75" customHeight="1">
      <c r="C56" s="16">
        <v>1.0E-4</v>
      </c>
      <c r="D56" s="1">
        <f t="shared" ref="D56:F56" si="19">AVERAGE(C46,F46,I46)</f>
        <v>0.996382856</v>
      </c>
      <c r="E56" s="1">
        <f t="shared" si="19"/>
        <v>0.9989163445</v>
      </c>
      <c r="F56" s="1">
        <f t="shared" si="19"/>
        <v>1.00528161</v>
      </c>
    </row>
    <row r="57" ht="12.75" customHeight="1">
      <c r="C57" s="16">
        <v>2.0E-4</v>
      </c>
      <c r="D57" s="1">
        <f t="shared" ref="D57:F57" si="20">AVERAGE(C47,F47,I47)</f>
        <v>0.9402823979</v>
      </c>
      <c r="E57" s="1">
        <f t="shared" si="20"/>
        <v>0.9743129352</v>
      </c>
      <c r="F57" s="1">
        <f t="shared" si="20"/>
        <v>0.9804455254</v>
      </c>
    </row>
    <row r="58" ht="12.75" customHeight="1">
      <c r="C58" s="16">
        <v>4.0E-4</v>
      </c>
      <c r="D58" s="1">
        <f t="shared" ref="D58:F58" si="21">AVERAGE(C48,F48,I48)</f>
        <v>0.09265937848</v>
      </c>
      <c r="E58" s="1">
        <f t="shared" si="21"/>
        <v>0.1292778999</v>
      </c>
      <c r="F58" s="1">
        <f t="shared" si="21"/>
        <v>0.1341688012</v>
      </c>
    </row>
    <row r="59" ht="12.75" customHeight="1">
      <c r="C59" s="16">
        <v>8.0E-4</v>
      </c>
      <c r="D59" s="1">
        <f t="shared" ref="D59:F59" si="22">AVERAGE(C49,F49,I49)</f>
        <v>0.01636078357</v>
      </c>
      <c r="E59" s="1">
        <f t="shared" si="22"/>
        <v>0.01541442743</v>
      </c>
      <c r="F59" s="1">
        <f t="shared" si="22"/>
        <v>0.01781516562</v>
      </c>
    </row>
    <row r="60" ht="12.75" customHeight="1">
      <c r="C60" s="16">
        <v>0.0016</v>
      </c>
      <c r="D60" s="1">
        <f t="shared" ref="D60:F60" si="23">AVERAGE(C50,F50,I50)</f>
        <v>0.005852691956</v>
      </c>
      <c r="E60" s="1">
        <f t="shared" si="23"/>
        <v>0.004051732266</v>
      </c>
      <c r="F60" s="1">
        <f t="shared" si="23"/>
        <v>0.00379256618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D54:F60">
    <cfRule type="colorScale" priority="1">
      <colorScale>
        <cfvo type="formula" val="0"/>
        <cfvo type="formula" val="1"/>
        <color theme="1"/>
        <color rgb="FF00B0F0"/>
      </colorScale>
    </cfRule>
  </conditionalFormatting>
  <conditionalFormatting sqref="D54:F60">
    <cfRule type="colorScale" priority="2">
      <colorScale>
        <cfvo type="formula" val="0"/>
        <cfvo type="max"/>
        <color rgb="FFFF7128"/>
        <color rgb="FFFFEF9C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 t="s">
        <v>6</v>
      </c>
      <c r="B6" s="2" t="s">
        <v>38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 t="s">
        <v>8</v>
      </c>
      <c r="B7" s="3">
        <v>46009.0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 t="s">
        <v>9</v>
      </c>
      <c r="B8" s="4">
        <v>0.6246759259259259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 t="s">
        <v>10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 t="s">
        <v>12</v>
      </c>
      <c r="B10" s="2">
        <v>2.5030902E7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 t="s">
        <v>13</v>
      </c>
      <c r="B11" s="2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5" t="s">
        <v>15</v>
      </c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 t="s">
        <v>16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 t="s">
        <v>19</v>
      </c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 t="s">
        <v>24</v>
      </c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25</v>
      </c>
      <c r="B22" s="2">
        <v>29.7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5192.0</v>
      </c>
      <c r="D24" s="8" t="s">
        <v>39</v>
      </c>
      <c r="E24" s="8" t="s">
        <v>40</v>
      </c>
      <c r="F24" s="8" t="s">
        <v>41</v>
      </c>
      <c r="G24" s="8">
        <v>2876.0</v>
      </c>
      <c r="H24" s="8" t="s">
        <v>42</v>
      </c>
      <c r="I24" s="8" t="s">
        <v>39</v>
      </c>
      <c r="J24" s="8" t="s">
        <v>43</v>
      </c>
      <c r="K24" s="8">
        <v>2876.0</v>
      </c>
      <c r="L24" s="8" t="s">
        <v>42</v>
      </c>
      <c r="M24" s="8" t="s">
        <v>39</v>
      </c>
      <c r="N24" s="8" t="s">
        <v>43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0.097</v>
      </c>
      <c r="D25" s="9">
        <v>0.096</v>
      </c>
      <c r="E25" s="9">
        <v>0.096</v>
      </c>
      <c r="F25" s="9">
        <v>0.096</v>
      </c>
      <c r="G25" s="9">
        <v>0.097</v>
      </c>
      <c r="H25" s="9">
        <v>0.096</v>
      </c>
      <c r="I25" s="9">
        <v>0.097</v>
      </c>
      <c r="J25" s="9">
        <v>0.097</v>
      </c>
      <c r="K25" s="9">
        <v>0.097</v>
      </c>
      <c r="L25" s="9">
        <v>0.098</v>
      </c>
      <c r="M25" s="9">
        <v>0.098</v>
      </c>
      <c r="N25" s="9">
        <v>0.097</v>
      </c>
      <c r="O25" s="10">
        <v>600.0</v>
      </c>
      <c r="P25" s="2">
        <f>AVERAGE(C25:N25)</f>
        <v>0.09683333333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2">
        <v>1.375</v>
      </c>
      <c r="D26" s="11">
        <v>1.413</v>
      </c>
      <c r="E26" s="11">
        <v>1.429</v>
      </c>
      <c r="F26" s="11">
        <v>1.448</v>
      </c>
      <c r="G26" s="11">
        <v>1.478</v>
      </c>
      <c r="H26" s="17">
        <v>1.254</v>
      </c>
      <c r="I26" s="11">
        <v>1.46</v>
      </c>
      <c r="J26" s="11">
        <v>1.471</v>
      </c>
      <c r="K26" s="11">
        <v>1.483</v>
      </c>
      <c r="L26" s="17">
        <v>1.266</v>
      </c>
      <c r="M26" s="11">
        <v>1.465</v>
      </c>
      <c r="N26" s="11">
        <v>1.438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2">
        <v>1.344</v>
      </c>
      <c r="D27" s="11">
        <v>1.396</v>
      </c>
      <c r="E27" s="11">
        <v>1.388</v>
      </c>
      <c r="F27" s="11">
        <v>1.435</v>
      </c>
      <c r="G27" s="11">
        <v>1.434</v>
      </c>
      <c r="H27" s="18">
        <v>1.12</v>
      </c>
      <c r="I27" s="12">
        <v>1.355</v>
      </c>
      <c r="J27" s="11">
        <v>1.431</v>
      </c>
      <c r="K27" s="11">
        <v>1.434</v>
      </c>
      <c r="L27" s="18">
        <v>1.136</v>
      </c>
      <c r="M27" s="11">
        <v>1.418</v>
      </c>
      <c r="N27" s="12">
        <v>1.379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2">
        <v>1.315</v>
      </c>
      <c r="D28" s="11">
        <v>1.421</v>
      </c>
      <c r="E28" s="11">
        <v>1.413</v>
      </c>
      <c r="F28" s="11">
        <v>1.441</v>
      </c>
      <c r="G28" s="11">
        <v>1.39</v>
      </c>
      <c r="H28" s="13">
        <v>0.232</v>
      </c>
      <c r="I28" s="12">
        <v>1.325</v>
      </c>
      <c r="J28" s="11">
        <v>1.402</v>
      </c>
      <c r="K28" s="11">
        <v>1.395</v>
      </c>
      <c r="L28" s="13">
        <v>0.224</v>
      </c>
      <c r="M28" s="11">
        <v>1.385</v>
      </c>
      <c r="N28" s="12">
        <v>1.347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13">
        <v>0.216</v>
      </c>
      <c r="D29" s="12">
        <v>1.361</v>
      </c>
      <c r="E29" s="9">
        <v>0.188</v>
      </c>
      <c r="F29" s="12">
        <v>1.362</v>
      </c>
      <c r="G29" s="9">
        <v>0.188</v>
      </c>
      <c r="H29" s="9">
        <v>0.142</v>
      </c>
      <c r="I29" s="13">
        <v>0.222</v>
      </c>
      <c r="J29" s="13">
        <v>0.203</v>
      </c>
      <c r="K29" s="9">
        <v>0.177</v>
      </c>
      <c r="L29" s="9">
        <v>0.142</v>
      </c>
      <c r="M29" s="13">
        <v>0.195</v>
      </c>
      <c r="N29" s="9">
        <v>0.176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0.11</v>
      </c>
      <c r="D30" s="9">
        <v>0.174</v>
      </c>
      <c r="E30" s="9">
        <v>0.141</v>
      </c>
      <c r="F30" s="9">
        <v>0.186</v>
      </c>
      <c r="G30" s="9">
        <v>0.14</v>
      </c>
      <c r="H30" s="9">
        <v>0.14</v>
      </c>
      <c r="I30" s="9">
        <v>0.142</v>
      </c>
      <c r="J30" s="9">
        <v>0.141</v>
      </c>
      <c r="K30" s="9">
        <v>0.139</v>
      </c>
      <c r="L30" s="9">
        <v>0.136</v>
      </c>
      <c r="M30" s="9">
        <v>0.137</v>
      </c>
      <c r="N30" s="9">
        <v>0.103</v>
      </c>
      <c r="O30" s="10">
        <v>600.0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0.101</v>
      </c>
      <c r="D31" s="9">
        <v>0.137</v>
      </c>
      <c r="E31" s="9">
        <v>0.136</v>
      </c>
      <c r="F31" s="9">
        <v>0.133</v>
      </c>
      <c r="G31" s="9">
        <v>0.135</v>
      </c>
      <c r="H31" s="9">
        <v>0.132</v>
      </c>
      <c r="I31" s="9">
        <v>0.124</v>
      </c>
      <c r="J31" s="9">
        <v>0.13</v>
      </c>
      <c r="K31" s="9">
        <v>0.13</v>
      </c>
      <c r="L31" s="9">
        <v>0.119</v>
      </c>
      <c r="M31" s="9">
        <v>0.125</v>
      </c>
      <c r="N31" s="9">
        <v>0.101</v>
      </c>
      <c r="O31" s="10">
        <v>600.0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0.099</v>
      </c>
      <c r="D32" s="9">
        <v>0.101</v>
      </c>
      <c r="E32" s="9">
        <v>0.1</v>
      </c>
      <c r="F32" s="9">
        <v>0.1</v>
      </c>
      <c r="G32" s="9">
        <v>0.1</v>
      </c>
      <c r="H32" s="9">
        <v>0.099</v>
      </c>
      <c r="I32" s="9">
        <v>0.099</v>
      </c>
      <c r="J32" s="9">
        <v>0.1</v>
      </c>
      <c r="K32" s="9">
        <v>0.099</v>
      </c>
      <c r="L32" s="9">
        <v>0.1</v>
      </c>
      <c r="M32" s="9">
        <v>0.099</v>
      </c>
      <c r="N32" s="9">
        <v>0.099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>
        <f t="shared" ref="C35:N35" si="1">C26-$P$25</f>
        <v>1.278166667</v>
      </c>
      <c r="D35" s="2">
        <f t="shared" si="1"/>
        <v>1.316166667</v>
      </c>
      <c r="E35" s="2">
        <f t="shared" si="1"/>
        <v>1.332166667</v>
      </c>
      <c r="F35" s="2">
        <f t="shared" si="1"/>
        <v>1.351166667</v>
      </c>
      <c r="G35" s="2">
        <f t="shared" si="1"/>
        <v>1.381166667</v>
      </c>
      <c r="H35" s="2">
        <f t="shared" si="1"/>
        <v>1.157166667</v>
      </c>
      <c r="I35" s="2">
        <f t="shared" si="1"/>
        <v>1.363166667</v>
      </c>
      <c r="J35" s="2">
        <f t="shared" si="1"/>
        <v>1.374166667</v>
      </c>
      <c r="K35" s="2">
        <f t="shared" si="1"/>
        <v>1.386166667</v>
      </c>
      <c r="L35" s="2">
        <f t="shared" si="1"/>
        <v>1.169166667</v>
      </c>
      <c r="M35" s="2">
        <f t="shared" si="1"/>
        <v>1.368166667</v>
      </c>
      <c r="N35" s="2">
        <f t="shared" si="1"/>
        <v>1.341166667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>
        <f t="shared" ref="C36:N36" si="2">C27-$P$25</f>
        <v>1.247166667</v>
      </c>
      <c r="D36" s="2">
        <f t="shared" si="2"/>
        <v>1.299166667</v>
      </c>
      <c r="E36" s="2">
        <f t="shared" si="2"/>
        <v>1.291166667</v>
      </c>
      <c r="F36" s="2">
        <f t="shared" si="2"/>
        <v>1.338166667</v>
      </c>
      <c r="G36" s="2">
        <f t="shared" si="2"/>
        <v>1.337166667</v>
      </c>
      <c r="H36" s="2">
        <f t="shared" si="2"/>
        <v>1.023166667</v>
      </c>
      <c r="I36" s="2">
        <f t="shared" si="2"/>
        <v>1.258166667</v>
      </c>
      <c r="J36" s="2">
        <f t="shared" si="2"/>
        <v>1.334166667</v>
      </c>
      <c r="K36" s="2">
        <f t="shared" si="2"/>
        <v>1.337166667</v>
      </c>
      <c r="L36" s="2">
        <f t="shared" si="2"/>
        <v>1.039166667</v>
      </c>
      <c r="M36" s="2">
        <f t="shared" si="2"/>
        <v>1.321166667</v>
      </c>
      <c r="N36" s="2">
        <f t="shared" si="2"/>
        <v>1.282166667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>
        <f t="shared" ref="C37:N37" si="3">C28-$P$25</f>
        <v>1.218166667</v>
      </c>
      <c r="D37" s="2">
        <f t="shared" si="3"/>
        <v>1.324166667</v>
      </c>
      <c r="E37" s="2">
        <f t="shared" si="3"/>
        <v>1.316166667</v>
      </c>
      <c r="F37" s="2">
        <f t="shared" si="3"/>
        <v>1.344166667</v>
      </c>
      <c r="G37" s="2">
        <f t="shared" si="3"/>
        <v>1.293166667</v>
      </c>
      <c r="H37" s="2">
        <f t="shared" si="3"/>
        <v>0.1351666667</v>
      </c>
      <c r="I37" s="2">
        <f t="shared" si="3"/>
        <v>1.228166667</v>
      </c>
      <c r="J37" s="2">
        <f t="shared" si="3"/>
        <v>1.305166667</v>
      </c>
      <c r="K37" s="2">
        <f t="shared" si="3"/>
        <v>1.298166667</v>
      </c>
      <c r="L37" s="2">
        <f t="shared" si="3"/>
        <v>0.1271666667</v>
      </c>
      <c r="M37" s="2">
        <f t="shared" si="3"/>
        <v>1.288166667</v>
      </c>
      <c r="N37" s="2">
        <f t="shared" si="3"/>
        <v>1.250166667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>
        <f t="shared" ref="C38:N38" si="4">C29-$P$25</f>
        <v>0.1191666667</v>
      </c>
      <c r="D38" s="2">
        <f t="shared" si="4"/>
        <v>1.264166667</v>
      </c>
      <c r="E38" s="2">
        <f t="shared" si="4"/>
        <v>0.09116666667</v>
      </c>
      <c r="F38" s="2">
        <f t="shared" si="4"/>
        <v>1.265166667</v>
      </c>
      <c r="G38" s="2">
        <f t="shared" si="4"/>
        <v>0.09116666667</v>
      </c>
      <c r="H38" s="2">
        <f t="shared" si="4"/>
        <v>0.04516666667</v>
      </c>
      <c r="I38" s="2">
        <f t="shared" si="4"/>
        <v>0.1251666667</v>
      </c>
      <c r="J38" s="2">
        <f t="shared" si="4"/>
        <v>0.1061666667</v>
      </c>
      <c r="K38" s="2">
        <f t="shared" si="4"/>
        <v>0.08016666667</v>
      </c>
      <c r="L38" s="2">
        <f t="shared" si="4"/>
        <v>0.04516666667</v>
      </c>
      <c r="M38" s="2">
        <f t="shared" si="4"/>
        <v>0.09816666667</v>
      </c>
      <c r="N38" s="2">
        <f t="shared" si="4"/>
        <v>0.07916666667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>
        <f t="shared" ref="C39:N39" si="5">C30-$P$25</f>
        <v>0.01316666667</v>
      </c>
      <c r="D39" s="2">
        <f t="shared" si="5"/>
        <v>0.07716666667</v>
      </c>
      <c r="E39" s="2">
        <f t="shared" si="5"/>
        <v>0.04416666667</v>
      </c>
      <c r="F39" s="2">
        <f t="shared" si="5"/>
        <v>0.08916666667</v>
      </c>
      <c r="G39" s="2">
        <f t="shared" si="5"/>
        <v>0.04316666667</v>
      </c>
      <c r="H39" s="2">
        <f t="shared" si="5"/>
        <v>0.04316666667</v>
      </c>
      <c r="I39" s="2">
        <f t="shared" si="5"/>
        <v>0.04516666667</v>
      </c>
      <c r="J39" s="2">
        <f t="shared" si="5"/>
        <v>0.04416666667</v>
      </c>
      <c r="K39" s="2">
        <f t="shared" si="5"/>
        <v>0.04216666667</v>
      </c>
      <c r="L39" s="2">
        <f t="shared" si="5"/>
        <v>0.03916666667</v>
      </c>
      <c r="M39" s="2">
        <f t="shared" si="5"/>
        <v>0.04016666667</v>
      </c>
      <c r="N39" s="2">
        <f t="shared" si="5"/>
        <v>0.006166666667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>
        <f t="shared" ref="C40:N40" si="6">C31-$P$25</f>
        <v>0.004166666667</v>
      </c>
      <c r="D40" s="2">
        <f t="shared" si="6"/>
        <v>0.04016666667</v>
      </c>
      <c r="E40" s="2">
        <f t="shared" si="6"/>
        <v>0.03916666667</v>
      </c>
      <c r="F40" s="2">
        <f t="shared" si="6"/>
        <v>0.03616666667</v>
      </c>
      <c r="G40" s="2">
        <f t="shared" si="6"/>
        <v>0.03816666667</v>
      </c>
      <c r="H40" s="2">
        <f t="shared" si="6"/>
        <v>0.03516666667</v>
      </c>
      <c r="I40" s="2">
        <f t="shared" si="6"/>
        <v>0.02716666667</v>
      </c>
      <c r="J40" s="2">
        <f t="shared" si="6"/>
        <v>0.03316666667</v>
      </c>
      <c r="K40" s="2">
        <f t="shared" si="6"/>
        <v>0.03316666667</v>
      </c>
      <c r="L40" s="2">
        <f t="shared" si="6"/>
        <v>0.02216666667</v>
      </c>
      <c r="M40" s="2">
        <f t="shared" si="6"/>
        <v>0.02816666667</v>
      </c>
      <c r="N40" s="2">
        <f t="shared" si="6"/>
        <v>0.004166666667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>
        <f t="shared" ref="C41:N41" si="7">C32-$P$25</f>
        <v>0.002166666667</v>
      </c>
      <c r="D41" s="2">
        <f t="shared" si="7"/>
        <v>0.004166666667</v>
      </c>
      <c r="E41" s="2">
        <f t="shared" si="7"/>
        <v>0.003166666667</v>
      </c>
      <c r="F41" s="2">
        <f t="shared" si="7"/>
        <v>0.003166666667</v>
      </c>
      <c r="G41" s="2">
        <f t="shared" si="7"/>
        <v>0.003166666667</v>
      </c>
      <c r="H41" s="2">
        <f t="shared" si="7"/>
        <v>0.002166666667</v>
      </c>
      <c r="I41" s="2">
        <f t="shared" si="7"/>
        <v>0.002166666667</v>
      </c>
      <c r="J41" s="2">
        <f t="shared" si="7"/>
        <v>0.003166666667</v>
      </c>
      <c r="K41" s="2">
        <f t="shared" si="7"/>
        <v>0.002166666667</v>
      </c>
      <c r="L41" s="2">
        <f t="shared" si="7"/>
        <v>0.003166666667</v>
      </c>
      <c r="M41" s="2">
        <f t="shared" si="7"/>
        <v>0.002166666667</v>
      </c>
      <c r="N41" s="2">
        <f t="shared" si="7"/>
        <v>0.002166666667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9" t="s">
        <v>44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8">
        <v>5192.0</v>
      </c>
      <c r="D43" s="8" t="s">
        <v>39</v>
      </c>
      <c r="E43" s="8" t="s">
        <v>40</v>
      </c>
      <c r="F43" s="8" t="s">
        <v>41</v>
      </c>
      <c r="G43" s="8">
        <v>2876.0</v>
      </c>
      <c r="H43" s="8" t="s">
        <v>42</v>
      </c>
      <c r="I43" s="8" t="s">
        <v>39</v>
      </c>
      <c r="J43" s="8" t="s">
        <v>43</v>
      </c>
      <c r="K43" s="8">
        <v>2876.0</v>
      </c>
      <c r="L43" s="8" t="s">
        <v>42</v>
      </c>
      <c r="M43" s="8" t="s">
        <v>39</v>
      </c>
      <c r="N43" s="8" t="s">
        <v>43</v>
      </c>
      <c r="O43" s="2"/>
      <c r="P43" s="2">
        <v>5192.0</v>
      </c>
      <c r="Q43" s="2" t="s">
        <v>39</v>
      </c>
      <c r="R43" s="2" t="s">
        <v>41</v>
      </c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>
        <f t="shared" ref="C44:C50" si="8">C35/$C$35</f>
        <v>1</v>
      </c>
      <c r="D44" s="2">
        <f t="shared" ref="D44:D50" si="9">D35/$D$35</f>
        <v>1</v>
      </c>
      <c r="E44" s="2">
        <f t="shared" ref="E44:E50" si="10">E35/$E$35</f>
        <v>1</v>
      </c>
      <c r="F44" s="2">
        <f t="shared" ref="F44:F50" si="11">F35/$F$35</f>
        <v>1</v>
      </c>
      <c r="G44" s="2">
        <f t="shared" ref="G44:G50" si="12">G35/$G$35</f>
        <v>1</v>
      </c>
      <c r="H44" s="2">
        <f t="shared" ref="H44:H50" si="13">H35/$H$35</f>
        <v>1</v>
      </c>
      <c r="I44" s="2">
        <f t="shared" ref="I44:I50" si="14">I35/$I$35</f>
        <v>1</v>
      </c>
      <c r="J44" s="2">
        <f t="shared" ref="J44:J50" si="15">J35/$J$35</f>
        <v>1</v>
      </c>
      <c r="K44" s="2">
        <f t="shared" ref="K44:K50" si="16">K35/$K$35</f>
        <v>1</v>
      </c>
      <c r="L44" s="2">
        <f t="shared" ref="L44:L50" si="17">L35/$L$35</f>
        <v>1</v>
      </c>
      <c r="M44" s="2">
        <f t="shared" ref="M44:M50" si="18">M35/$M$35</f>
        <v>1</v>
      </c>
      <c r="N44" s="2">
        <f t="shared" ref="N44:N50" si="19">N35/$N$35</f>
        <v>1</v>
      </c>
      <c r="O44" s="2"/>
      <c r="P44" s="2">
        <v>1.0</v>
      </c>
      <c r="Q44" s="2">
        <v>1.0</v>
      </c>
      <c r="R44" s="2">
        <v>1.0</v>
      </c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>
        <f t="shared" si="8"/>
        <v>0.9757465119</v>
      </c>
      <c r="D45" s="2">
        <f t="shared" si="9"/>
        <v>0.9870837027</v>
      </c>
      <c r="E45" s="2">
        <f t="shared" si="10"/>
        <v>0.9692230702</v>
      </c>
      <c r="F45" s="2">
        <f t="shared" si="11"/>
        <v>0.9903786851</v>
      </c>
      <c r="G45" s="2">
        <f t="shared" si="12"/>
        <v>0.9681428744</v>
      </c>
      <c r="H45" s="2">
        <f t="shared" si="13"/>
        <v>0.8841999136</v>
      </c>
      <c r="I45" s="2">
        <f t="shared" si="14"/>
        <v>0.9229734686</v>
      </c>
      <c r="J45" s="2">
        <f t="shared" si="15"/>
        <v>0.9708914494</v>
      </c>
      <c r="K45" s="2">
        <f t="shared" si="16"/>
        <v>0.9646507154</v>
      </c>
      <c r="L45" s="2">
        <f t="shared" si="17"/>
        <v>0.8888096935</v>
      </c>
      <c r="M45" s="2">
        <f t="shared" si="18"/>
        <v>0.9656474601</v>
      </c>
      <c r="N45" s="2">
        <f t="shared" si="19"/>
        <v>0.9560084504</v>
      </c>
      <c r="O45" s="2"/>
      <c r="P45" s="2">
        <v>0.9757465119311515</v>
      </c>
      <c r="Q45" s="2">
        <v>0.9870837026719006</v>
      </c>
      <c r="R45" s="2">
        <v>0.9903786850869619</v>
      </c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>
        <f t="shared" si="8"/>
        <v>0.953057765</v>
      </c>
      <c r="D46" s="2">
        <f t="shared" si="9"/>
        <v>1.006078258</v>
      </c>
      <c r="E46" s="2">
        <f t="shared" si="10"/>
        <v>0.9879894908</v>
      </c>
      <c r="F46" s="2">
        <f t="shared" si="11"/>
        <v>0.994819292</v>
      </c>
      <c r="G46" s="2">
        <f t="shared" si="12"/>
        <v>0.9362857488</v>
      </c>
      <c r="H46" s="2">
        <f t="shared" si="13"/>
        <v>0.1168082961</v>
      </c>
      <c r="I46" s="2">
        <f t="shared" si="14"/>
        <v>0.9009658883</v>
      </c>
      <c r="J46" s="2">
        <f t="shared" si="15"/>
        <v>0.9497877502</v>
      </c>
      <c r="K46" s="2">
        <f t="shared" si="16"/>
        <v>0.9365155705</v>
      </c>
      <c r="L46" s="2">
        <f t="shared" si="17"/>
        <v>0.108766928</v>
      </c>
      <c r="M46" s="2">
        <f t="shared" si="18"/>
        <v>0.9415275917</v>
      </c>
      <c r="N46" s="2">
        <f t="shared" si="19"/>
        <v>0.9321486268</v>
      </c>
      <c r="O46" s="2"/>
      <c r="P46" s="2">
        <v>0.9530577650280349</v>
      </c>
      <c r="Q46" s="2">
        <v>1.0060782575661644</v>
      </c>
      <c r="R46" s="2">
        <v>0.9948192919699026</v>
      </c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>
        <f t="shared" si="8"/>
        <v>0.09323249446</v>
      </c>
      <c r="D47" s="2">
        <f t="shared" si="9"/>
        <v>0.9604913258</v>
      </c>
      <c r="E47" s="2">
        <f t="shared" si="10"/>
        <v>0.06843488052</v>
      </c>
      <c r="F47" s="2">
        <f t="shared" si="11"/>
        <v>0.9363513013</v>
      </c>
      <c r="G47" s="2">
        <f t="shared" si="12"/>
        <v>0.06600699891</v>
      </c>
      <c r="H47" s="2">
        <f t="shared" si="13"/>
        <v>0.03903211868</v>
      </c>
      <c r="I47" s="2">
        <f t="shared" si="14"/>
        <v>0.09182051596</v>
      </c>
      <c r="J47" s="2">
        <f t="shared" si="15"/>
        <v>0.07725894482</v>
      </c>
      <c r="K47" s="2">
        <f t="shared" si="16"/>
        <v>0.05783335337</v>
      </c>
      <c r="L47" s="2">
        <f t="shared" si="17"/>
        <v>0.03863150392</v>
      </c>
      <c r="M47" s="2">
        <f t="shared" si="18"/>
        <v>0.07175051772</v>
      </c>
      <c r="N47" s="2">
        <f t="shared" si="19"/>
        <v>0.05902820927</v>
      </c>
      <c r="O47" s="2"/>
      <c r="P47" s="2">
        <v>0.09323249445820837</v>
      </c>
      <c r="Q47" s="2">
        <v>0.9604913258199316</v>
      </c>
      <c r="R47" s="2">
        <v>0.9363513013445172</v>
      </c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>
        <f t="shared" si="8"/>
        <v>0.01030121267</v>
      </c>
      <c r="D48" s="2">
        <f t="shared" si="9"/>
        <v>0.05862985944</v>
      </c>
      <c r="E48" s="2">
        <f t="shared" si="10"/>
        <v>0.03315400976</v>
      </c>
      <c r="F48" s="2">
        <f t="shared" si="11"/>
        <v>0.06599235229</v>
      </c>
      <c r="G48" s="2">
        <f t="shared" si="12"/>
        <v>0.03125377097</v>
      </c>
      <c r="H48" s="2">
        <f t="shared" si="13"/>
        <v>0.03730375918</v>
      </c>
      <c r="I48" s="2">
        <f t="shared" si="14"/>
        <v>0.03313363492</v>
      </c>
      <c r="J48" s="2">
        <f t="shared" si="15"/>
        <v>0.03214069133</v>
      </c>
      <c r="K48" s="2">
        <f t="shared" si="16"/>
        <v>0.03041962246</v>
      </c>
      <c r="L48" s="2">
        <f t="shared" si="17"/>
        <v>0.03349964362</v>
      </c>
      <c r="M48" s="2">
        <f t="shared" si="18"/>
        <v>0.02935802168</v>
      </c>
      <c r="N48" s="2">
        <f t="shared" si="19"/>
        <v>0.004597986827</v>
      </c>
      <c r="O48" s="2"/>
      <c r="P48" s="2">
        <v>0.010301212674403449</v>
      </c>
      <c r="Q48" s="2">
        <v>0.05862985944029377</v>
      </c>
      <c r="R48" s="2">
        <v>0.06599235228814605</v>
      </c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>
        <f t="shared" si="8"/>
        <v>0.003259877429</v>
      </c>
      <c r="D49" s="2">
        <f t="shared" si="9"/>
        <v>0.0305179182</v>
      </c>
      <c r="E49" s="2">
        <f t="shared" si="10"/>
        <v>0.02940072563</v>
      </c>
      <c r="F49" s="2">
        <f t="shared" si="11"/>
        <v>0.02676699149</v>
      </c>
      <c r="G49" s="2">
        <f t="shared" si="12"/>
        <v>0.02763364306</v>
      </c>
      <c r="H49" s="2">
        <f t="shared" si="13"/>
        <v>0.03039032119</v>
      </c>
      <c r="I49" s="2">
        <f t="shared" si="14"/>
        <v>0.01992908669</v>
      </c>
      <c r="J49" s="2">
        <f t="shared" si="15"/>
        <v>0.0241358399</v>
      </c>
      <c r="K49" s="2">
        <f t="shared" si="16"/>
        <v>0.02392689672</v>
      </c>
      <c r="L49" s="2">
        <f t="shared" si="17"/>
        <v>0.01895937277</v>
      </c>
      <c r="M49" s="2">
        <f t="shared" si="18"/>
        <v>0.02058716043</v>
      </c>
      <c r="N49" s="2">
        <f t="shared" si="19"/>
        <v>0.003106747856</v>
      </c>
      <c r="O49" s="2"/>
      <c r="P49" s="2">
        <v>0.0032598774286086945</v>
      </c>
      <c r="Q49" s="2">
        <v>0.0305179181967836</v>
      </c>
      <c r="R49" s="2">
        <v>0.02676699148883682</v>
      </c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>
        <f t="shared" si="8"/>
        <v>0.001695136263</v>
      </c>
      <c r="D50" s="2">
        <f t="shared" si="9"/>
        <v>0.003165759149</v>
      </c>
      <c r="E50" s="2">
        <f t="shared" si="10"/>
        <v>0.002377079945</v>
      </c>
      <c r="F50" s="2">
        <f t="shared" si="11"/>
        <v>0.002343653633</v>
      </c>
      <c r="G50" s="2">
        <f t="shared" si="12"/>
        <v>0.002292747677</v>
      </c>
      <c r="H50" s="2">
        <f t="shared" si="13"/>
        <v>0.001872389457</v>
      </c>
      <c r="I50" s="2">
        <f t="shared" si="14"/>
        <v>0.001589436361</v>
      </c>
      <c r="J50" s="2">
        <f t="shared" si="15"/>
        <v>0.002304426925</v>
      </c>
      <c r="K50" s="2">
        <f t="shared" si="16"/>
        <v>0.001563063605</v>
      </c>
      <c r="L50" s="2">
        <f t="shared" si="17"/>
        <v>0.002708481825</v>
      </c>
      <c r="M50" s="2">
        <f t="shared" si="18"/>
        <v>0.001583627726</v>
      </c>
      <c r="N50" s="2">
        <f t="shared" si="19"/>
        <v>0.001615508885</v>
      </c>
      <c r="O50" s="2"/>
      <c r="P50" s="2">
        <v>0.0016951362628765247</v>
      </c>
      <c r="Q50" s="2">
        <v>0.0031657591490439506</v>
      </c>
      <c r="R50" s="2">
        <v>0.0023436536326631396</v>
      </c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>
        <v>5192.0</v>
      </c>
      <c r="D52" s="2" t="s">
        <v>39</v>
      </c>
      <c r="E52" s="2" t="s">
        <v>40</v>
      </c>
      <c r="F52" s="2" t="s">
        <v>41</v>
      </c>
      <c r="G52" s="2">
        <v>2876.0</v>
      </c>
      <c r="H52" s="2" t="s">
        <v>42</v>
      </c>
      <c r="I52" s="2" t="s">
        <v>39</v>
      </c>
      <c r="J52" s="2" t="s">
        <v>43</v>
      </c>
      <c r="K52" s="2">
        <v>5192.0</v>
      </c>
      <c r="L52" s="2" t="s">
        <v>39</v>
      </c>
      <c r="M52" s="2" t="s">
        <v>40</v>
      </c>
      <c r="N52" s="2" t="s">
        <v>41</v>
      </c>
      <c r="O52" s="2"/>
      <c r="P52" s="2">
        <v>1.0</v>
      </c>
      <c r="Q52" s="2">
        <v>1.0</v>
      </c>
      <c r="R52" s="2">
        <v>1.0</v>
      </c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>
        <v>1.0</v>
      </c>
      <c r="D53" s="2">
        <v>1.0</v>
      </c>
      <c r="E53" s="2">
        <v>1.0</v>
      </c>
      <c r="F53" s="2">
        <v>1.0</v>
      </c>
      <c r="G53" s="2">
        <v>1.0</v>
      </c>
      <c r="H53" s="2">
        <v>1.0</v>
      </c>
      <c r="I53" s="2">
        <v>1.0</v>
      </c>
      <c r="J53" s="2">
        <v>1.0</v>
      </c>
      <c r="K53" s="2">
        <v>1.0</v>
      </c>
      <c r="L53" s="2">
        <v>1.0</v>
      </c>
      <c r="M53" s="2">
        <v>1.0</v>
      </c>
      <c r="N53" s="2">
        <v>1.0</v>
      </c>
      <c r="O53" s="2"/>
      <c r="P53" s="2">
        <v>1.0691337942252948</v>
      </c>
      <c r="Q53" s="2">
        <v>1.0535643954312721</v>
      </c>
      <c r="R53" s="2">
        <v>1.0361399461745482</v>
      </c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>
        <v>1.0691337942252948</v>
      </c>
      <c r="D54" s="2">
        <v>1.0535643954312721</v>
      </c>
      <c r="E54" s="2">
        <v>1.0490312376433373</v>
      </c>
      <c r="F54" s="2">
        <v>1.0361399461745482</v>
      </c>
      <c r="G54" s="2">
        <v>0.9822943563260789</v>
      </c>
      <c r="H54" s="2">
        <v>0.884326710816777</v>
      </c>
      <c r="I54" s="2">
        <v>0.9454205607476636</v>
      </c>
      <c r="J54" s="2">
        <v>0.9896564462504618</v>
      </c>
      <c r="K54" s="2">
        <v>1.0416175893207695</v>
      </c>
      <c r="L54" s="2">
        <v>1.0654168328679696</v>
      </c>
      <c r="M54" s="2">
        <v>1.0737060041407867</v>
      </c>
      <c r="N54" s="2">
        <v>1.0911752404851527</v>
      </c>
      <c r="O54" s="2"/>
      <c r="P54" s="2">
        <v>1.0309068727124848</v>
      </c>
      <c r="Q54" s="2">
        <v>1.0275699094131547</v>
      </c>
      <c r="R54" s="2">
        <v>1.0153787004998078</v>
      </c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>
        <v>1.0309068727124848</v>
      </c>
      <c r="D55" s="2">
        <v>1.0275699094131547</v>
      </c>
      <c r="E55" s="2">
        <v>1.018979833926453</v>
      </c>
      <c r="F55" s="2">
        <v>1.0153787004998078</v>
      </c>
      <c r="G55" s="2">
        <v>0.9365547768351163</v>
      </c>
      <c r="H55" s="2">
        <v>0.08874172185430465</v>
      </c>
      <c r="I55" s="2">
        <v>0.914018691588785</v>
      </c>
      <c r="J55" s="2">
        <v>0.9408939785740673</v>
      </c>
      <c r="K55" s="2">
        <v>0.9976442873969374</v>
      </c>
      <c r="L55" s="2">
        <v>1.0311128839250099</v>
      </c>
      <c r="M55" s="2">
        <v>1.0314699792960662</v>
      </c>
      <c r="N55" s="2">
        <v>1.0744458385612714</v>
      </c>
      <c r="O55" s="2"/>
      <c r="P55" s="2">
        <v>0.03212688084587232</v>
      </c>
      <c r="Q55" s="2">
        <v>0.983458054352107</v>
      </c>
      <c r="R55" s="2">
        <v>0.9715494040753557</v>
      </c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>
        <v>0.03212688084587232</v>
      </c>
      <c r="D56" s="2">
        <v>0.983458054352107</v>
      </c>
      <c r="E56" s="2">
        <v>0.03281929616449189</v>
      </c>
      <c r="F56" s="2">
        <v>0.9715494040753557</v>
      </c>
      <c r="G56" s="2">
        <v>0.03873109553670233</v>
      </c>
      <c r="H56" s="2">
        <v>0.012803532008830033</v>
      </c>
      <c r="I56" s="2">
        <v>0.0527102803738318</v>
      </c>
      <c r="J56" s="2">
        <v>0.041743627632065024</v>
      </c>
      <c r="K56" s="2">
        <v>0.035728307813113466</v>
      </c>
      <c r="L56" s="2">
        <v>0.9704826485839648</v>
      </c>
      <c r="M56" s="2">
        <v>0.019461697722567294</v>
      </c>
      <c r="N56" s="2">
        <v>1.0225846925972395</v>
      </c>
      <c r="O56" s="2"/>
      <c r="P56" s="2">
        <v>0.001220008133387557</v>
      </c>
      <c r="Q56" s="2">
        <v>0.020874359984245774</v>
      </c>
      <c r="R56" s="2">
        <v>0.01960784313725491</v>
      </c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>
        <v>0.001220008133387557</v>
      </c>
      <c r="D57" s="2">
        <v>0.020874359984245774</v>
      </c>
      <c r="E57" s="2">
        <v>0.0011862396204033226</v>
      </c>
      <c r="F57" s="2">
        <v>0.01960784313725491</v>
      </c>
      <c r="G57" s="2">
        <v>0.004795278495020292</v>
      </c>
      <c r="H57" s="2">
        <v>0.0013245033112582792</v>
      </c>
      <c r="I57" s="2">
        <v>0.0011214953271028048</v>
      </c>
      <c r="J57" s="2">
        <v>0.002585888437384561</v>
      </c>
      <c r="K57" s="2">
        <v>0.004318806438947785</v>
      </c>
      <c r="L57" s="2">
        <v>0.01954527323494217</v>
      </c>
      <c r="M57" s="2">
        <v>0.002898550724637684</v>
      </c>
      <c r="N57" s="2">
        <v>0.02467586783772481</v>
      </c>
      <c r="O57" s="2"/>
      <c r="P57" s="2">
        <v>4.066693777958636E-4</v>
      </c>
      <c r="Q57" s="2">
        <v>0.001969279243796772</v>
      </c>
      <c r="R57" s="2">
        <v>0.005767012687427918</v>
      </c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>
        <v>4.066693777958636E-4</v>
      </c>
      <c r="D58" s="2">
        <v>0.001969279243796772</v>
      </c>
      <c r="E58" s="2">
        <v>-3.9541320680109654E-4</v>
      </c>
      <c r="F58" s="2">
        <v>0.005767012687427918</v>
      </c>
      <c r="G58" s="2">
        <v>0.004057543341940247</v>
      </c>
      <c r="H58" s="2">
        <v>0.0048565121412803575</v>
      </c>
      <c r="I58" s="2">
        <v>0.004112149532710285</v>
      </c>
      <c r="J58" s="2">
        <v>-0.0011082379017362302</v>
      </c>
      <c r="K58" s="2">
        <v>3.926187671770823E-4</v>
      </c>
      <c r="L58" s="2">
        <v>0.0019944156362185898</v>
      </c>
      <c r="M58" s="2">
        <v>-4.1407867494822905E-4</v>
      </c>
      <c r="N58" s="2">
        <v>4.182350480970425E-4</v>
      </c>
      <c r="O58" s="2"/>
      <c r="P58" s="2">
        <v>0.001220008133387557</v>
      </c>
      <c r="Q58" s="2">
        <v>-3.938558487593435E-4</v>
      </c>
      <c r="R58" s="2">
        <v>0.0011534025374855836</v>
      </c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>
        <v>0.001220008133387557</v>
      </c>
      <c r="D59" s="2">
        <v>-3.938558487593435E-4</v>
      </c>
      <c r="E59" s="2">
        <v>0.0019770660340055375</v>
      </c>
      <c r="F59" s="2">
        <v>0.0011534025374855836</v>
      </c>
      <c r="G59" s="2">
        <v>0.0025820730357801573</v>
      </c>
      <c r="H59" s="2">
        <v>0.0013245033112582792</v>
      </c>
      <c r="I59" s="2">
        <v>0.007102803738317764</v>
      </c>
      <c r="J59" s="2">
        <v>0.004802364240857042</v>
      </c>
      <c r="K59" s="2">
        <v>0.0058892815076560705</v>
      </c>
      <c r="L59" s="2">
        <v>0.0035899481451934613</v>
      </c>
      <c r="M59" s="2">
        <v>0.004554865424430646</v>
      </c>
      <c r="N59" s="2">
        <v>0.0012547051442910928</v>
      </c>
      <c r="O59" s="2"/>
      <c r="P59" s="2"/>
      <c r="Q59" s="2"/>
      <c r="R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1.0</v>
      </c>
      <c r="Q60" s="2">
        <v>1.0</v>
      </c>
      <c r="R60" s="2">
        <v>1.0</v>
      </c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1.0416175893207695</v>
      </c>
      <c r="Q61" s="2">
        <v>1.0654168328679696</v>
      </c>
      <c r="R61" s="2">
        <v>1.0911752404851527</v>
      </c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8">
        <v>5192.0</v>
      </c>
      <c r="D62" s="8" t="s">
        <v>39</v>
      </c>
      <c r="E62" s="8" t="s">
        <v>40</v>
      </c>
      <c r="F62" s="8" t="s">
        <v>41</v>
      </c>
      <c r="G62" s="8">
        <v>2876.0</v>
      </c>
      <c r="H62" s="8" t="s">
        <v>42</v>
      </c>
      <c r="I62" s="8" t="s">
        <v>39</v>
      </c>
      <c r="J62" s="8" t="s">
        <v>43</v>
      </c>
      <c r="K62" s="2"/>
      <c r="L62" s="2"/>
      <c r="M62" s="2"/>
      <c r="N62" s="2"/>
      <c r="O62" s="2"/>
      <c r="P62" s="2">
        <v>0.9976442873969374</v>
      </c>
      <c r="Q62" s="2">
        <v>1.0311128839250099</v>
      </c>
      <c r="R62" s="2">
        <v>1.0744458385612714</v>
      </c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>
        <f t="shared" ref="C63:F63" si="20">AVERAGE(C44,C53,K53)</f>
        <v>1</v>
      </c>
      <c r="D63" s="2">
        <f t="shared" si="20"/>
        <v>1</v>
      </c>
      <c r="E63" s="2">
        <f t="shared" si="20"/>
        <v>1</v>
      </c>
      <c r="F63" s="2">
        <f t="shared" si="20"/>
        <v>1</v>
      </c>
      <c r="G63" s="2">
        <f t="shared" ref="G63:J63" si="21">AVERAGE(G44,K44,G53)</f>
        <v>1</v>
      </c>
      <c r="H63" s="2">
        <f t="shared" si="21"/>
        <v>1</v>
      </c>
      <c r="I63" s="2">
        <f t="shared" si="21"/>
        <v>1</v>
      </c>
      <c r="J63" s="2">
        <f t="shared" si="21"/>
        <v>1</v>
      </c>
      <c r="K63" s="2"/>
      <c r="L63" s="2"/>
      <c r="M63" s="2"/>
      <c r="N63" s="2"/>
      <c r="O63" s="2"/>
      <c r="P63" s="2">
        <v>0.035728307813113466</v>
      </c>
      <c r="Q63" s="2">
        <v>0.9704826485839648</v>
      </c>
      <c r="R63" s="2">
        <v>1.0225846925972395</v>
      </c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>
        <f t="shared" ref="C64:F64" si="22">AVERAGE(C45,C54,K54)</f>
        <v>1.028832632</v>
      </c>
      <c r="D64" s="2">
        <f t="shared" si="22"/>
        <v>1.035354977</v>
      </c>
      <c r="E64" s="2">
        <f t="shared" si="22"/>
        <v>1.030653437</v>
      </c>
      <c r="F64" s="2">
        <f t="shared" si="22"/>
        <v>1.039231291</v>
      </c>
      <c r="G64" s="2">
        <f t="shared" ref="G64:J64" si="23">AVERAGE(G45,K45,G54)</f>
        <v>0.971695982</v>
      </c>
      <c r="H64" s="2">
        <f t="shared" si="23"/>
        <v>0.8857787726</v>
      </c>
      <c r="I64" s="2">
        <f t="shared" si="23"/>
        <v>0.9446804965</v>
      </c>
      <c r="J64" s="2">
        <f t="shared" si="23"/>
        <v>0.9721854487</v>
      </c>
      <c r="K64" s="2"/>
      <c r="L64" s="2"/>
      <c r="M64" s="2"/>
      <c r="N64" s="2"/>
      <c r="O64" s="2"/>
      <c r="P64" s="2">
        <v>0.004318806438947785</v>
      </c>
      <c r="Q64" s="2">
        <v>0.01954527323494217</v>
      </c>
      <c r="R64" s="2">
        <v>0.02467586783772481</v>
      </c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>
        <f t="shared" ref="C65:F65" si="24">AVERAGE(C46,C55,K55)</f>
        <v>0.9938696417</v>
      </c>
      <c r="D65" s="2">
        <f t="shared" si="24"/>
        <v>1.021587017</v>
      </c>
      <c r="E65" s="2">
        <f t="shared" si="24"/>
        <v>1.012813101</v>
      </c>
      <c r="F65" s="2">
        <f t="shared" si="24"/>
        <v>1.02821461</v>
      </c>
      <c r="G65" s="2">
        <f t="shared" ref="G65:J65" si="25">AVERAGE(G46,K46,G55)</f>
        <v>0.936452032</v>
      </c>
      <c r="H65" s="2">
        <f t="shared" si="25"/>
        <v>0.1047723153</v>
      </c>
      <c r="I65" s="2">
        <f t="shared" si="25"/>
        <v>0.9188373905</v>
      </c>
      <c r="J65" s="2">
        <f t="shared" si="25"/>
        <v>0.9409434518</v>
      </c>
      <c r="K65" s="2"/>
      <c r="L65" s="2"/>
      <c r="M65" s="2"/>
      <c r="N65" s="2"/>
      <c r="O65" s="2"/>
      <c r="P65" s="2">
        <v>3.926187671770823E-4</v>
      </c>
      <c r="Q65" s="2">
        <v>0.0019944156362185898</v>
      </c>
      <c r="R65" s="2">
        <v>4.182350480970425E-4</v>
      </c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>
        <f t="shared" ref="C66:F66" si="26">AVERAGE(C47,C56,K56)</f>
        <v>0.05369589437</v>
      </c>
      <c r="D66" s="2">
        <f t="shared" si="26"/>
        <v>0.9714773429</v>
      </c>
      <c r="E66" s="2">
        <f t="shared" si="26"/>
        <v>0.0402386248</v>
      </c>
      <c r="F66" s="2">
        <f t="shared" si="26"/>
        <v>0.976828466</v>
      </c>
      <c r="G66" s="2">
        <f t="shared" ref="G66:J66" si="27">AVERAGE(G47,K47,G56)</f>
        <v>0.05419048261</v>
      </c>
      <c r="H66" s="2">
        <f t="shared" si="27"/>
        <v>0.0301557182</v>
      </c>
      <c r="I66" s="2">
        <f t="shared" si="27"/>
        <v>0.07209377135</v>
      </c>
      <c r="J66" s="2">
        <f t="shared" si="27"/>
        <v>0.05934359391</v>
      </c>
      <c r="K66" s="2"/>
      <c r="L66" s="2"/>
      <c r="M66" s="2"/>
      <c r="N66" s="2"/>
      <c r="O66" s="2"/>
      <c r="P66" s="2">
        <v>0.0058892815076560705</v>
      </c>
      <c r="Q66" s="2">
        <v>0.0035899481451934613</v>
      </c>
      <c r="R66" s="2">
        <v>0.0012547051442910928</v>
      </c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>
        <f t="shared" ref="C67:F67" si="28">AVERAGE(C48,C57,K57)</f>
        <v>0.005280009082</v>
      </c>
      <c r="D67" s="2">
        <f t="shared" si="28"/>
        <v>0.03301649755</v>
      </c>
      <c r="E67" s="2">
        <f t="shared" si="28"/>
        <v>0.01241293337</v>
      </c>
      <c r="F67" s="2">
        <f t="shared" si="28"/>
        <v>0.03675868775</v>
      </c>
      <c r="G67" s="2">
        <f t="shared" ref="G67:J67" si="29">AVERAGE(G48,K48,G57)</f>
        <v>0.02215622397</v>
      </c>
      <c r="H67" s="2">
        <f t="shared" si="29"/>
        <v>0.02404263537</v>
      </c>
      <c r="I67" s="2">
        <f t="shared" si="29"/>
        <v>0.02120438398</v>
      </c>
      <c r="J67" s="2">
        <f t="shared" si="29"/>
        <v>0.01310818886</v>
      </c>
      <c r="K67" s="2"/>
      <c r="L67" s="2"/>
      <c r="M67" s="2"/>
      <c r="N67" s="2"/>
      <c r="O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>
        <f t="shared" ref="C68:F68" si="30">AVERAGE(C49,C58,K58)</f>
        <v>0.001353055191</v>
      </c>
      <c r="D68" s="2">
        <f t="shared" si="30"/>
        <v>0.01149387103</v>
      </c>
      <c r="E68" s="2">
        <f t="shared" si="30"/>
        <v>0.009530411251</v>
      </c>
      <c r="F68" s="2">
        <f t="shared" si="30"/>
        <v>0.01098407974</v>
      </c>
      <c r="G68" s="2">
        <f t="shared" ref="G68:J68" si="31">AVERAGE(G49,K49,G58)</f>
        <v>0.01853936104</v>
      </c>
      <c r="H68" s="2">
        <f t="shared" si="31"/>
        <v>0.01806873537</v>
      </c>
      <c r="I68" s="2">
        <f t="shared" si="31"/>
        <v>0.01487613222</v>
      </c>
      <c r="J68" s="2">
        <f t="shared" si="31"/>
        <v>0.008711449953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>
        <f t="shared" ref="C69:F69" si="32">AVERAGE(C50,C59,K59)</f>
        <v>0.002934808635</v>
      </c>
      <c r="D69" s="2">
        <f t="shared" si="32"/>
        <v>0.002120617148</v>
      </c>
      <c r="E69" s="2">
        <f t="shared" si="32"/>
        <v>0.002969670468</v>
      </c>
      <c r="F69" s="2">
        <f t="shared" si="32"/>
        <v>0.001583920438</v>
      </c>
      <c r="G69" s="2">
        <f t="shared" ref="G69:J69" si="33">AVERAGE(G50,K50,G59)</f>
        <v>0.002145961439</v>
      </c>
      <c r="H69" s="2">
        <f t="shared" si="33"/>
        <v>0.001968458198</v>
      </c>
      <c r="I69" s="2">
        <f t="shared" si="33"/>
        <v>0.003425289275</v>
      </c>
      <c r="J69" s="2">
        <f t="shared" si="33"/>
        <v>0.002907433351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63:J69">
    <cfRule type="colorScale" priority="1">
      <colorScale>
        <cfvo type="formula" val="0"/>
        <cfvo type="formula" val="1"/>
        <color theme="1"/>
        <color rgb="FF00B0F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 t="s">
        <v>6</v>
      </c>
      <c r="B6" s="2" t="s">
        <v>45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 t="s">
        <v>8</v>
      </c>
      <c r="B7" s="3">
        <v>46009.0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 t="s">
        <v>9</v>
      </c>
      <c r="B8" s="4">
        <v>0.6255671296296296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 t="s">
        <v>10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 t="s">
        <v>12</v>
      </c>
      <c r="B10" s="2">
        <v>2.5030902E7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 t="s">
        <v>13</v>
      </c>
      <c r="B11" s="2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5" t="s">
        <v>15</v>
      </c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 t="s">
        <v>16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 t="s">
        <v>19</v>
      </c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 t="s">
        <v>23</v>
      </c>
      <c r="C19" s="2"/>
      <c r="D19" s="2"/>
      <c r="E19" s="2"/>
      <c r="F19" s="2"/>
      <c r="G19" s="2"/>
      <c r="H19" s="2"/>
      <c r="I19" s="9"/>
      <c r="J19" s="9"/>
      <c r="K19" s="9"/>
      <c r="L19" s="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" t="s">
        <v>24</v>
      </c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25</v>
      </c>
      <c r="B22" s="2">
        <v>29.6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5192.0</v>
      </c>
      <c r="D24" s="8" t="s">
        <v>39</v>
      </c>
      <c r="E24" s="8" t="s">
        <v>40</v>
      </c>
      <c r="F24" s="8" t="s">
        <v>41</v>
      </c>
      <c r="G24" s="8">
        <v>2876.0</v>
      </c>
      <c r="H24" s="8" t="s">
        <v>42</v>
      </c>
      <c r="I24" s="8" t="s">
        <v>39</v>
      </c>
      <c r="J24" s="8" t="s">
        <v>43</v>
      </c>
      <c r="K24" s="8">
        <v>5192.0</v>
      </c>
      <c r="L24" s="8" t="s">
        <v>39</v>
      </c>
      <c r="M24" s="8" t="s">
        <v>40</v>
      </c>
      <c r="N24" s="8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0.097</v>
      </c>
      <c r="D25" s="9">
        <v>0.097</v>
      </c>
      <c r="E25" s="9">
        <v>0.098</v>
      </c>
      <c r="F25" s="9">
        <v>0.097</v>
      </c>
      <c r="G25" s="9">
        <v>0.108</v>
      </c>
      <c r="H25" s="9">
        <v>0.104</v>
      </c>
      <c r="I25" s="9">
        <v>0.105</v>
      </c>
      <c r="J25" s="9">
        <v>0.103</v>
      </c>
      <c r="K25" s="9">
        <v>0.097</v>
      </c>
      <c r="L25" s="9">
        <v>0.097</v>
      </c>
      <c r="M25" s="9">
        <v>0.102</v>
      </c>
      <c r="N25" s="9">
        <v>0.101</v>
      </c>
      <c r="O25" s="10">
        <v>600.0</v>
      </c>
      <c r="P25" s="2">
        <f>AVERAGE(C25:N25)</f>
        <v>0.1005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2">
        <v>1.33</v>
      </c>
      <c r="D26" s="11">
        <v>1.37</v>
      </c>
      <c r="E26" s="11">
        <v>1.365</v>
      </c>
      <c r="F26" s="11">
        <v>1.401</v>
      </c>
      <c r="G26" s="11">
        <v>1.456</v>
      </c>
      <c r="H26" s="17">
        <v>1.233</v>
      </c>
      <c r="I26" s="11">
        <v>1.438</v>
      </c>
      <c r="J26" s="11">
        <v>1.454</v>
      </c>
      <c r="K26" s="11">
        <v>1.374</v>
      </c>
      <c r="L26" s="12">
        <v>1.354</v>
      </c>
      <c r="M26" s="12">
        <v>1.308</v>
      </c>
      <c r="N26" s="12">
        <v>1.296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1">
        <v>1.415</v>
      </c>
      <c r="D27" s="11">
        <v>1.438</v>
      </c>
      <c r="E27" s="11">
        <v>1.427</v>
      </c>
      <c r="F27" s="11">
        <v>1.448</v>
      </c>
      <c r="G27" s="11">
        <v>1.432</v>
      </c>
      <c r="H27" s="18">
        <v>1.102</v>
      </c>
      <c r="I27" s="11">
        <v>1.365</v>
      </c>
      <c r="J27" s="11">
        <v>1.44</v>
      </c>
      <c r="K27" s="11">
        <v>1.427</v>
      </c>
      <c r="L27" s="11">
        <v>1.436</v>
      </c>
      <c r="M27" s="11">
        <v>1.397</v>
      </c>
      <c r="N27" s="11">
        <v>1.405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1">
        <v>1.368</v>
      </c>
      <c r="D28" s="11">
        <v>1.405</v>
      </c>
      <c r="E28" s="11">
        <v>1.389</v>
      </c>
      <c r="F28" s="11">
        <v>1.421</v>
      </c>
      <c r="G28" s="11">
        <v>1.37</v>
      </c>
      <c r="H28" s="13">
        <v>0.201</v>
      </c>
      <c r="I28" s="12">
        <v>1.323</v>
      </c>
      <c r="J28" s="11">
        <v>1.374</v>
      </c>
      <c r="K28" s="11">
        <v>1.371</v>
      </c>
      <c r="L28" s="11">
        <v>1.393</v>
      </c>
      <c r="M28" s="12">
        <v>1.346</v>
      </c>
      <c r="N28" s="11">
        <v>1.385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9">
        <v>0.14</v>
      </c>
      <c r="D29" s="12">
        <v>1.349</v>
      </c>
      <c r="E29" s="9">
        <v>0.142</v>
      </c>
      <c r="F29" s="11">
        <v>1.364</v>
      </c>
      <c r="G29" s="9">
        <v>0.153</v>
      </c>
      <c r="H29" s="9">
        <v>0.115</v>
      </c>
      <c r="I29" s="9">
        <v>0.171</v>
      </c>
      <c r="J29" s="9">
        <v>0.157</v>
      </c>
      <c r="K29" s="9">
        <v>0.146</v>
      </c>
      <c r="L29" s="12">
        <v>1.317</v>
      </c>
      <c r="M29" s="9">
        <v>0.124</v>
      </c>
      <c r="N29" s="12">
        <v>1.323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0.102</v>
      </c>
      <c r="D30" s="9">
        <v>0.127</v>
      </c>
      <c r="E30" s="9">
        <v>0.102</v>
      </c>
      <c r="F30" s="9">
        <v>0.126</v>
      </c>
      <c r="G30" s="9">
        <v>0.107</v>
      </c>
      <c r="H30" s="9">
        <v>0.102</v>
      </c>
      <c r="I30" s="9">
        <v>0.102</v>
      </c>
      <c r="J30" s="9">
        <v>0.104</v>
      </c>
      <c r="K30" s="9">
        <v>0.106</v>
      </c>
      <c r="L30" s="9">
        <v>0.125</v>
      </c>
      <c r="M30" s="9">
        <v>0.104</v>
      </c>
      <c r="N30" s="9">
        <v>0.13</v>
      </c>
      <c r="O30" s="10">
        <v>600.0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0.101</v>
      </c>
      <c r="D31" s="9">
        <v>0.103</v>
      </c>
      <c r="E31" s="9">
        <v>0.1</v>
      </c>
      <c r="F31" s="9">
        <v>0.108</v>
      </c>
      <c r="G31" s="9">
        <v>0.106</v>
      </c>
      <c r="H31" s="9">
        <v>0.106</v>
      </c>
      <c r="I31" s="9">
        <v>0.106</v>
      </c>
      <c r="J31" s="9">
        <v>0.099</v>
      </c>
      <c r="K31" s="9">
        <v>0.101</v>
      </c>
      <c r="L31" s="9">
        <v>0.103</v>
      </c>
      <c r="M31" s="9">
        <v>0.1</v>
      </c>
      <c r="N31" s="9">
        <v>0.101</v>
      </c>
      <c r="O31" s="10">
        <v>600.0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0.102</v>
      </c>
      <c r="D32" s="9">
        <v>0.1</v>
      </c>
      <c r="E32" s="9">
        <v>0.103</v>
      </c>
      <c r="F32" s="9">
        <v>0.102</v>
      </c>
      <c r="G32" s="9">
        <v>0.104</v>
      </c>
      <c r="H32" s="9">
        <v>0.102</v>
      </c>
      <c r="I32" s="9">
        <v>0.11</v>
      </c>
      <c r="J32" s="9">
        <v>0.107</v>
      </c>
      <c r="K32" s="9">
        <v>0.108</v>
      </c>
      <c r="L32" s="9">
        <v>0.105</v>
      </c>
      <c r="M32" s="9">
        <v>0.106</v>
      </c>
      <c r="N32" s="9">
        <v>0.102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>
        <f t="shared" ref="C35:N35" si="1">C26-$P$25</f>
        <v>1.2295</v>
      </c>
      <c r="D35" s="2">
        <f t="shared" si="1"/>
        <v>1.2695</v>
      </c>
      <c r="E35" s="2">
        <f t="shared" si="1"/>
        <v>1.2645</v>
      </c>
      <c r="F35" s="2">
        <f t="shared" si="1"/>
        <v>1.3005</v>
      </c>
      <c r="G35" s="2">
        <f t="shared" si="1"/>
        <v>1.3555</v>
      </c>
      <c r="H35" s="2">
        <f t="shared" si="1"/>
        <v>1.1325</v>
      </c>
      <c r="I35" s="2">
        <f t="shared" si="1"/>
        <v>1.3375</v>
      </c>
      <c r="J35" s="2">
        <f t="shared" si="1"/>
        <v>1.3535</v>
      </c>
      <c r="K35" s="2">
        <f t="shared" si="1"/>
        <v>1.2735</v>
      </c>
      <c r="L35" s="2">
        <f t="shared" si="1"/>
        <v>1.2535</v>
      </c>
      <c r="M35" s="2">
        <f t="shared" si="1"/>
        <v>1.2075</v>
      </c>
      <c r="N35" s="2">
        <f t="shared" si="1"/>
        <v>1.1955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>
        <f t="shared" ref="C36:N36" si="2">C27-$P$25</f>
        <v>1.3145</v>
      </c>
      <c r="D36" s="2">
        <f t="shared" si="2"/>
        <v>1.3375</v>
      </c>
      <c r="E36" s="2">
        <f t="shared" si="2"/>
        <v>1.3265</v>
      </c>
      <c r="F36" s="2">
        <f t="shared" si="2"/>
        <v>1.3475</v>
      </c>
      <c r="G36" s="2">
        <f t="shared" si="2"/>
        <v>1.3315</v>
      </c>
      <c r="H36" s="2">
        <f t="shared" si="2"/>
        <v>1.0015</v>
      </c>
      <c r="I36" s="2">
        <f t="shared" si="2"/>
        <v>1.2645</v>
      </c>
      <c r="J36" s="2">
        <f t="shared" si="2"/>
        <v>1.3395</v>
      </c>
      <c r="K36" s="2">
        <f t="shared" si="2"/>
        <v>1.3265</v>
      </c>
      <c r="L36" s="2">
        <f t="shared" si="2"/>
        <v>1.3355</v>
      </c>
      <c r="M36" s="2">
        <f t="shared" si="2"/>
        <v>1.2965</v>
      </c>
      <c r="N36" s="2">
        <f t="shared" si="2"/>
        <v>1.3045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>
        <f t="shared" ref="C37:N37" si="3">C28-$P$25</f>
        <v>1.2675</v>
      </c>
      <c r="D37" s="2">
        <f t="shared" si="3"/>
        <v>1.3045</v>
      </c>
      <c r="E37" s="2">
        <f t="shared" si="3"/>
        <v>1.2885</v>
      </c>
      <c r="F37" s="2">
        <f t="shared" si="3"/>
        <v>1.3205</v>
      </c>
      <c r="G37" s="2">
        <f t="shared" si="3"/>
        <v>1.2695</v>
      </c>
      <c r="H37" s="2">
        <f t="shared" si="3"/>
        <v>0.1005</v>
      </c>
      <c r="I37" s="2">
        <f t="shared" si="3"/>
        <v>1.2225</v>
      </c>
      <c r="J37" s="2">
        <f t="shared" si="3"/>
        <v>1.2735</v>
      </c>
      <c r="K37" s="2">
        <f t="shared" si="3"/>
        <v>1.2705</v>
      </c>
      <c r="L37" s="2">
        <f t="shared" si="3"/>
        <v>1.2925</v>
      </c>
      <c r="M37" s="2">
        <f t="shared" si="3"/>
        <v>1.2455</v>
      </c>
      <c r="N37" s="2">
        <f t="shared" si="3"/>
        <v>1.2845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>
        <f t="shared" ref="C38:N38" si="4">C29-$P$25</f>
        <v>0.0395</v>
      </c>
      <c r="D38" s="2">
        <f t="shared" si="4"/>
        <v>1.2485</v>
      </c>
      <c r="E38" s="2">
        <f t="shared" si="4"/>
        <v>0.0415</v>
      </c>
      <c r="F38" s="2">
        <f t="shared" si="4"/>
        <v>1.2635</v>
      </c>
      <c r="G38" s="2">
        <f t="shared" si="4"/>
        <v>0.0525</v>
      </c>
      <c r="H38" s="2">
        <f t="shared" si="4"/>
        <v>0.0145</v>
      </c>
      <c r="I38" s="2">
        <f t="shared" si="4"/>
        <v>0.0705</v>
      </c>
      <c r="J38" s="2">
        <f t="shared" si="4"/>
        <v>0.0565</v>
      </c>
      <c r="K38" s="2">
        <f t="shared" si="4"/>
        <v>0.0455</v>
      </c>
      <c r="L38" s="2">
        <f t="shared" si="4"/>
        <v>1.2165</v>
      </c>
      <c r="M38" s="2">
        <f t="shared" si="4"/>
        <v>0.0235</v>
      </c>
      <c r="N38" s="2">
        <f t="shared" si="4"/>
        <v>1.2225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>
        <f t="shared" ref="C39:N39" si="5">C30-$P$25</f>
        <v>0.0015</v>
      </c>
      <c r="D39" s="2">
        <f t="shared" si="5"/>
        <v>0.0265</v>
      </c>
      <c r="E39" s="2">
        <f t="shared" si="5"/>
        <v>0.0015</v>
      </c>
      <c r="F39" s="2">
        <f t="shared" si="5"/>
        <v>0.0255</v>
      </c>
      <c r="G39" s="2">
        <f t="shared" si="5"/>
        <v>0.0065</v>
      </c>
      <c r="H39" s="2">
        <f t="shared" si="5"/>
        <v>0.0015</v>
      </c>
      <c r="I39" s="2">
        <f t="shared" si="5"/>
        <v>0.0015</v>
      </c>
      <c r="J39" s="2">
        <f t="shared" si="5"/>
        <v>0.0035</v>
      </c>
      <c r="K39" s="2">
        <f t="shared" si="5"/>
        <v>0.0055</v>
      </c>
      <c r="L39" s="2">
        <f t="shared" si="5"/>
        <v>0.0245</v>
      </c>
      <c r="M39" s="2">
        <f t="shared" si="5"/>
        <v>0.0035</v>
      </c>
      <c r="N39" s="2">
        <f t="shared" si="5"/>
        <v>0.0295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>
        <f t="shared" ref="C40:N40" si="6">C31-$P$25</f>
        <v>0.0005</v>
      </c>
      <c r="D40" s="2">
        <f t="shared" si="6"/>
        <v>0.0025</v>
      </c>
      <c r="E40" s="2">
        <f t="shared" si="6"/>
        <v>-0.0005</v>
      </c>
      <c r="F40" s="2">
        <f t="shared" si="6"/>
        <v>0.0075</v>
      </c>
      <c r="G40" s="2">
        <f t="shared" si="6"/>
        <v>0.0055</v>
      </c>
      <c r="H40" s="2">
        <f t="shared" si="6"/>
        <v>0.0055</v>
      </c>
      <c r="I40" s="2">
        <f t="shared" si="6"/>
        <v>0.0055</v>
      </c>
      <c r="J40" s="2">
        <f t="shared" si="6"/>
        <v>-0.0015</v>
      </c>
      <c r="K40" s="2">
        <f t="shared" si="6"/>
        <v>0.0005</v>
      </c>
      <c r="L40" s="2">
        <f t="shared" si="6"/>
        <v>0.0025</v>
      </c>
      <c r="M40" s="2">
        <f t="shared" si="6"/>
        <v>-0.0005</v>
      </c>
      <c r="N40" s="2">
        <f t="shared" si="6"/>
        <v>0.0005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>
        <f t="shared" ref="C41:N41" si="7">C32-$P$25</f>
        <v>0.0015</v>
      </c>
      <c r="D41" s="2">
        <f t="shared" si="7"/>
        <v>-0.0005</v>
      </c>
      <c r="E41" s="2">
        <f t="shared" si="7"/>
        <v>0.0025</v>
      </c>
      <c r="F41" s="2">
        <f t="shared" si="7"/>
        <v>0.0015</v>
      </c>
      <c r="G41" s="2">
        <f t="shared" si="7"/>
        <v>0.0035</v>
      </c>
      <c r="H41" s="2">
        <f t="shared" si="7"/>
        <v>0.0015</v>
      </c>
      <c r="I41" s="2">
        <f t="shared" si="7"/>
        <v>0.0095</v>
      </c>
      <c r="J41" s="2">
        <f t="shared" si="7"/>
        <v>0.0065</v>
      </c>
      <c r="K41" s="2">
        <f t="shared" si="7"/>
        <v>0.0075</v>
      </c>
      <c r="L41" s="2">
        <f t="shared" si="7"/>
        <v>0.0045</v>
      </c>
      <c r="M41" s="2">
        <f t="shared" si="7"/>
        <v>0.0055</v>
      </c>
      <c r="N41" s="2">
        <f t="shared" si="7"/>
        <v>0.0015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8">
        <v>5192.0</v>
      </c>
      <c r="D43" s="8" t="s">
        <v>39</v>
      </c>
      <c r="E43" s="8" t="s">
        <v>40</v>
      </c>
      <c r="F43" s="8" t="s">
        <v>41</v>
      </c>
      <c r="G43" s="8">
        <v>2876.0</v>
      </c>
      <c r="H43" s="8" t="s">
        <v>42</v>
      </c>
      <c r="I43" s="8" t="s">
        <v>39</v>
      </c>
      <c r="J43" s="8" t="s">
        <v>43</v>
      </c>
      <c r="K43" s="8">
        <v>5192.0</v>
      </c>
      <c r="L43" s="8" t="s">
        <v>39</v>
      </c>
      <c r="M43" s="8" t="s">
        <v>40</v>
      </c>
      <c r="N43" s="8" t="s">
        <v>41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>
        <f t="shared" ref="C44:C50" si="8">C35/$C$35</f>
        <v>1</v>
      </c>
      <c r="D44" s="2">
        <f t="shared" ref="D44:D50" si="9">D35/$D$35</f>
        <v>1</v>
      </c>
      <c r="E44" s="2">
        <f t="shared" ref="E44:E50" si="10">E35/$E$35</f>
        <v>1</v>
      </c>
      <c r="F44" s="2">
        <f t="shared" ref="F44:F50" si="11">F35/$F$35</f>
        <v>1</v>
      </c>
      <c r="G44" s="2">
        <f t="shared" ref="G44:G50" si="12">G35/$G$35</f>
        <v>1</v>
      </c>
      <c r="H44" s="2">
        <f t="shared" ref="H44:H50" si="13">H35/$H$35</f>
        <v>1</v>
      </c>
      <c r="I44" s="2">
        <f t="shared" ref="I44:I50" si="14">I35/$I$35</f>
        <v>1</v>
      </c>
      <c r="J44" s="2">
        <f t="shared" ref="J44:J50" si="15">J35/$J$35</f>
        <v>1</v>
      </c>
      <c r="K44" s="2">
        <f t="shared" ref="K44:K50" si="16">K35/$K$35</f>
        <v>1</v>
      </c>
      <c r="L44" s="2">
        <f t="shared" ref="L44:L50" si="17">L35/$L$35</f>
        <v>1</v>
      </c>
      <c r="M44" s="2">
        <f t="shared" ref="M44:M50" si="18">M35/$M$35</f>
        <v>1</v>
      </c>
      <c r="N44" s="2">
        <f t="shared" ref="N44:N50" si="19">N35/$N$35</f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>
        <f t="shared" si="8"/>
        <v>1.069133794</v>
      </c>
      <c r="D45" s="2">
        <f t="shared" si="9"/>
        <v>1.053564395</v>
      </c>
      <c r="E45" s="2">
        <f t="shared" si="10"/>
        <v>1.049031238</v>
      </c>
      <c r="F45" s="2">
        <f t="shared" si="11"/>
        <v>1.036139946</v>
      </c>
      <c r="G45" s="2">
        <f t="shared" si="12"/>
        <v>0.9822943563</v>
      </c>
      <c r="H45" s="2">
        <f t="shared" si="13"/>
        <v>0.8843267108</v>
      </c>
      <c r="I45" s="2">
        <f t="shared" si="14"/>
        <v>0.9454205607</v>
      </c>
      <c r="J45" s="2">
        <f t="shared" si="15"/>
        <v>0.9896564463</v>
      </c>
      <c r="K45" s="2">
        <f t="shared" si="16"/>
        <v>1.041617589</v>
      </c>
      <c r="L45" s="2">
        <f t="shared" si="17"/>
        <v>1.065416833</v>
      </c>
      <c r="M45" s="2">
        <f t="shared" si="18"/>
        <v>1.073706004</v>
      </c>
      <c r="N45" s="2">
        <f t="shared" si="19"/>
        <v>1.09117524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>
        <f t="shared" si="8"/>
        <v>1.030906873</v>
      </c>
      <c r="D46" s="2">
        <f t="shared" si="9"/>
        <v>1.027569909</v>
      </c>
      <c r="E46" s="2">
        <f t="shared" si="10"/>
        <v>1.018979834</v>
      </c>
      <c r="F46" s="2">
        <f t="shared" si="11"/>
        <v>1.0153787</v>
      </c>
      <c r="G46" s="2">
        <f t="shared" si="12"/>
        <v>0.9365547768</v>
      </c>
      <c r="H46" s="2">
        <f t="shared" si="13"/>
        <v>0.08874172185</v>
      </c>
      <c r="I46" s="2">
        <f t="shared" si="14"/>
        <v>0.9140186916</v>
      </c>
      <c r="J46" s="2">
        <f t="shared" si="15"/>
        <v>0.9408939786</v>
      </c>
      <c r="K46" s="2">
        <f t="shared" si="16"/>
        <v>0.9976442874</v>
      </c>
      <c r="L46" s="2">
        <f t="shared" si="17"/>
        <v>1.031112884</v>
      </c>
      <c r="M46" s="2">
        <f t="shared" si="18"/>
        <v>1.031469979</v>
      </c>
      <c r="N46" s="2">
        <f t="shared" si="19"/>
        <v>1.074445839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>
        <f t="shared" si="8"/>
        <v>0.03212688085</v>
      </c>
      <c r="D47" s="2">
        <f t="shared" si="9"/>
        <v>0.9834580544</v>
      </c>
      <c r="E47" s="2">
        <f t="shared" si="10"/>
        <v>0.03281929616</v>
      </c>
      <c r="F47" s="2">
        <f t="shared" si="11"/>
        <v>0.9715494041</v>
      </c>
      <c r="G47" s="2">
        <f t="shared" si="12"/>
        <v>0.03873109554</v>
      </c>
      <c r="H47" s="2">
        <f t="shared" si="13"/>
        <v>0.01280353201</v>
      </c>
      <c r="I47" s="2">
        <f t="shared" si="14"/>
        <v>0.05271028037</v>
      </c>
      <c r="J47" s="2">
        <f t="shared" si="15"/>
        <v>0.04174362763</v>
      </c>
      <c r="K47" s="2">
        <f t="shared" si="16"/>
        <v>0.03572830781</v>
      </c>
      <c r="L47" s="2">
        <f t="shared" si="17"/>
        <v>0.9704826486</v>
      </c>
      <c r="M47" s="2">
        <f t="shared" si="18"/>
        <v>0.01946169772</v>
      </c>
      <c r="N47" s="2">
        <f t="shared" si="19"/>
        <v>1.022584693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>
        <f t="shared" si="8"/>
        <v>0.001220008133</v>
      </c>
      <c r="D48" s="2">
        <f t="shared" si="9"/>
        <v>0.02087435998</v>
      </c>
      <c r="E48" s="2">
        <f t="shared" si="10"/>
        <v>0.00118623962</v>
      </c>
      <c r="F48" s="2">
        <f t="shared" si="11"/>
        <v>0.01960784314</v>
      </c>
      <c r="G48" s="2">
        <f t="shared" si="12"/>
        <v>0.004795278495</v>
      </c>
      <c r="H48" s="2">
        <f t="shared" si="13"/>
        <v>0.001324503311</v>
      </c>
      <c r="I48" s="2">
        <f t="shared" si="14"/>
        <v>0.001121495327</v>
      </c>
      <c r="J48" s="2">
        <f t="shared" si="15"/>
        <v>0.002585888437</v>
      </c>
      <c r="K48" s="2">
        <f t="shared" si="16"/>
        <v>0.004318806439</v>
      </c>
      <c r="L48" s="2">
        <f t="shared" si="17"/>
        <v>0.01954527323</v>
      </c>
      <c r="M48" s="2">
        <f t="shared" si="18"/>
        <v>0.002898550725</v>
      </c>
      <c r="N48" s="2">
        <f t="shared" si="19"/>
        <v>0.02467586784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>
        <f t="shared" si="8"/>
        <v>0.0004066693778</v>
      </c>
      <c r="D49" s="2">
        <f t="shared" si="9"/>
        <v>0.001969279244</v>
      </c>
      <c r="E49" s="2">
        <f t="shared" si="10"/>
        <v>-0.0003954132068</v>
      </c>
      <c r="F49" s="2">
        <f t="shared" si="11"/>
        <v>0.005767012687</v>
      </c>
      <c r="G49" s="2">
        <f t="shared" si="12"/>
        <v>0.004057543342</v>
      </c>
      <c r="H49" s="2">
        <f t="shared" si="13"/>
        <v>0.004856512141</v>
      </c>
      <c r="I49" s="2">
        <f t="shared" si="14"/>
        <v>0.004112149533</v>
      </c>
      <c r="J49" s="2">
        <f t="shared" si="15"/>
        <v>-0.001108237902</v>
      </c>
      <c r="K49" s="2">
        <f t="shared" si="16"/>
        <v>0.0003926187672</v>
      </c>
      <c r="L49" s="2">
        <f t="shared" si="17"/>
        <v>0.001994415636</v>
      </c>
      <c r="M49" s="2">
        <f t="shared" si="18"/>
        <v>-0.0004140786749</v>
      </c>
      <c r="N49" s="2">
        <f t="shared" si="19"/>
        <v>0.0004182350481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>
        <f t="shared" si="8"/>
        <v>0.001220008133</v>
      </c>
      <c r="D50" s="2">
        <f t="shared" si="9"/>
        <v>-0.0003938558488</v>
      </c>
      <c r="E50" s="2">
        <f t="shared" si="10"/>
        <v>0.001977066034</v>
      </c>
      <c r="F50" s="2">
        <f t="shared" si="11"/>
        <v>0.001153402537</v>
      </c>
      <c r="G50" s="2">
        <f t="shared" si="12"/>
        <v>0.002582073036</v>
      </c>
      <c r="H50" s="2">
        <f t="shared" si="13"/>
        <v>0.001324503311</v>
      </c>
      <c r="I50" s="2">
        <f t="shared" si="14"/>
        <v>0.007102803738</v>
      </c>
      <c r="J50" s="2">
        <f t="shared" si="15"/>
        <v>0.004802364241</v>
      </c>
      <c r="K50" s="2">
        <f t="shared" si="16"/>
        <v>0.005889281508</v>
      </c>
      <c r="L50" s="2">
        <f t="shared" si="17"/>
        <v>0.003589948145</v>
      </c>
      <c r="M50" s="2">
        <f t="shared" si="18"/>
        <v>0.004554865424</v>
      </c>
      <c r="N50" s="2">
        <f t="shared" si="19"/>
        <v>0.001254705144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Plate Reader Access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