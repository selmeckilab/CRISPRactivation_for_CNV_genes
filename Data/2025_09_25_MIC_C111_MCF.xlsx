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te 1 - Sheet1" sheetId="1" r:id="rId4"/>
    <sheet state="visible" name="Plate 2 - Sheet1" sheetId="2" r:id="rId5"/>
    <sheet state="visible" name="Plate 3 - Sheet1" sheetId="3" r:id="rId6"/>
  </sheets>
  <definedNames>
    <definedName name="MethodPointer1">1624895760</definedName>
    <definedName name="MethodPointer2">495</definedName>
  </definedNames>
  <calcPr/>
  <extLst>
    <ext uri="GoogleSheetsCustomDataVersion2">
      <go:sheetsCustomData xmlns:go="http://customooxmlschemas.google.com/" r:id="rId7" roundtripDataChecksum="YZCHHmhJOVFcREJr9IvUf+rHQxq5QeD2vWIcnAsIF80="/>
    </ext>
  </extLst>
</workbook>
</file>

<file path=xl/sharedStrings.xml><?xml version="1.0" encoding="utf-8"?>
<sst xmlns="http://schemas.openxmlformats.org/spreadsheetml/2006/main" count="143" uniqueCount="59">
  <si>
    <t>Software Version</t>
  </si>
  <si>
    <t>3.16.10</t>
  </si>
  <si>
    <t>Experiment File Path:</t>
  </si>
  <si>
    <t>C:\Users\Plate Reader Access\Desktop\Selmecki lab\Erika\C3_CRISPRAMIC_2025_09_25.xpt</t>
  </si>
  <si>
    <t>Protocol File Path:</t>
  </si>
  <si>
    <t>C:\Users\Public\Documents\Protocols\InitialOD.prt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</si>
  <si>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</si>
  <si>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</si>
  <si>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</si>
  <si>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</si>
  <si>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</si>
  <si>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</si>
  <si>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</si>
  <si>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</si>
  <si>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</si>
  <si>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</si>
  <si>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</si>
  <si>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</si>
  <si>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</si>
  <si>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Read</t>
  </si>
  <si>
    <t>Absorbance Endpoint</t>
  </si>
  <si>
    <t>Full Plate</t>
  </si>
  <si>
    <t>Wavelengths:  600</t>
  </si>
  <si>
    <t>Read Speed: Normal,  Delay: 100 msec,  Measurements/Data Point: 8</t>
  </si>
  <si>
    <t>Results</t>
  </si>
  <si>
    <t>Actual Temperature:</t>
  </si>
  <si>
    <t>c31</t>
  </si>
  <si>
    <t>c32</t>
  </si>
  <si>
    <t>c17</t>
  </si>
  <si>
    <t>c18</t>
  </si>
  <si>
    <t>c30</t>
  </si>
  <si>
    <t>c21</t>
  </si>
  <si>
    <t>c22</t>
  </si>
  <si>
    <t>MCF ug/mL</t>
  </si>
  <si>
    <t>C31</t>
  </si>
  <si>
    <t>C32</t>
  </si>
  <si>
    <t>C17</t>
  </si>
  <si>
    <t>C18</t>
  </si>
  <si>
    <t>C30</t>
  </si>
  <si>
    <t>C21</t>
  </si>
  <si>
    <t>C22</t>
  </si>
  <si>
    <t>A</t>
  </si>
  <si>
    <t>B</t>
  </si>
  <si>
    <t>C</t>
  </si>
  <si>
    <t>D</t>
  </si>
  <si>
    <t>E</t>
  </si>
  <si>
    <t>F</t>
  </si>
  <si>
    <t>G</t>
  </si>
  <si>
    <t>H</t>
  </si>
  <si>
    <t>MCF</t>
  </si>
  <si>
    <t>1% YPAD</t>
  </si>
  <si>
    <t>0.004 ug/ml</t>
  </si>
  <si>
    <t>0.008 ug/ml</t>
  </si>
  <si>
    <t>0.016 ug/ml</t>
  </si>
  <si>
    <t>0.032 ug/ml</t>
  </si>
  <si>
    <t>0.064 ug/ml</t>
  </si>
  <si>
    <t>0.128 ug/ml</t>
  </si>
  <si>
    <t>Plate 2</t>
  </si>
  <si>
    <t>Plate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</si>
</sst>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  <font>
      <b/>
      <u/>
      <sz val="10.0"/>
      <color rgb="FF000000"/>
      <name val="Arial"/>
    </font>
    <font>
      <sz val="10.0"/>
      <color rgb="FF000000"/>
      <name val="Arial"/>
    </font>
    <font>
      <sz val="10.0"/>
      <color rgb="FF27413E"/>
      <name val="Arial"/>
    </font>
    <font>
      <sz val="7.0"/>
      <color rgb="FF000000"/>
      <name val="Arial"/>
    </font>
    <font>
      <sz val="12.0"/>
      <color theme="1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  <fill>
      <patternFill patternType="solid">
        <fgColor rgb="FFE8F3FF"/>
        <bgColor rgb="FFE8F3FF"/>
      </patternFill>
    </fill>
    <fill>
      <patternFill patternType="solid">
        <fgColor rgb="FF3385C2"/>
        <bgColor rgb="FF3385C2"/>
      </patternFill>
    </fill>
    <fill>
      <patternFill patternType="solid">
        <fgColor rgb="FF247CBD"/>
        <bgColor rgb="FF247CBD"/>
      </patternFill>
    </fill>
    <fill>
      <patternFill patternType="solid">
        <fgColor rgb="FF428EC7"/>
        <bgColor rgb="FF428EC7"/>
      </patternFill>
    </fill>
    <fill>
      <patternFill patternType="solid">
        <fgColor rgb="FF5197CC"/>
        <bgColor rgb="FF5197CC"/>
      </patternFill>
    </fill>
    <fill>
      <patternFill patternType="solid">
        <fgColor rgb="FFC9E0F4"/>
        <bgColor rgb="FFC9E0F4"/>
      </patternFill>
    </fill>
    <fill>
      <patternFill patternType="solid">
        <fgColor rgb="FFBAD7EF"/>
        <bgColor rgb="FFBAD7EF"/>
      </patternFill>
    </fill>
    <fill>
      <patternFill patternType="solid">
        <fgColor rgb="FF7EB2DB"/>
        <bgColor rgb="FF7EB2DB"/>
      </patternFill>
    </fill>
    <fill>
      <patternFill patternType="solid">
        <fgColor rgb="FFD8E9F9"/>
        <bgColor rgb="FFD8E9F9"/>
      </patternFill>
    </fill>
    <fill>
      <patternFill patternType="solid">
        <fgColor rgb="FF60A0D1"/>
        <bgColor rgb="FF60A0D1"/>
      </patternFill>
    </fill>
    <fill>
      <patternFill patternType="solid">
        <fgColor rgb="FF8DBCE0"/>
        <bgColor rgb="FF8DBCE0"/>
      </patternFill>
    </fill>
    <fill>
      <patternFill patternType="solid">
        <fgColor rgb="FF6FA9D6"/>
        <bgColor rgb="FF6FA9D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9" xfId="0" applyFont="1" applyNumberFormat="1"/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shrinkToFit="0" vertical="center" wrapText="1"/>
    </xf>
    <xf borderId="1" fillId="2" fontId="5" numFmtId="0" xfId="0" applyAlignment="1" applyBorder="1" applyFont="1">
      <alignment horizontal="center" readingOrder="0"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horizontal="left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1" fillId="5" fontId="4" numFmtId="0" xfId="0" applyAlignment="1" applyBorder="1" applyFill="1" applyFont="1">
      <alignment horizontal="center" shrinkToFit="0" vertical="center" wrapText="1"/>
    </xf>
    <xf borderId="1" fillId="6" fontId="4" numFmtId="0" xfId="0" applyAlignment="1" applyBorder="1" applyFill="1" applyFont="1">
      <alignment horizontal="center" shrinkToFit="0" vertical="center" wrapText="1"/>
    </xf>
    <xf borderId="1" fillId="7" fontId="4" numFmtId="0" xfId="0" applyAlignment="1" applyBorder="1" applyFill="1" applyFont="1">
      <alignment horizontal="center" shrinkToFit="0" vertical="center" wrapText="1"/>
    </xf>
    <xf borderId="1" fillId="8" fontId="4" numFmtId="0" xfId="0" applyAlignment="1" applyBorder="1" applyFill="1" applyFont="1">
      <alignment horizontal="center" shrinkToFit="0" vertical="center" wrapText="1"/>
    </xf>
    <xf borderId="1" fillId="9" fontId="4" numFmtId="0" xfId="0" applyAlignment="1" applyBorder="1" applyFill="1" applyFont="1">
      <alignment horizontal="center" shrinkToFit="0" vertical="center" wrapText="1"/>
    </xf>
    <xf borderId="1" fillId="10" fontId="4" numFmtId="0" xfId="0" applyAlignment="1" applyBorder="1" applyFill="1" applyFont="1">
      <alignment horizontal="center" shrinkToFit="0" vertical="center" wrapText="1"/>
    </xf>
    <xf borderId="1" fillId="11" fontId="4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readingOrder="0" shrinkToFit="0" vertical="center" wrapText="1"/>
    </xf>
    <xf borderId="0" fillId="0" fontId="7" numFmtId="164" xfId="0" applyFont="1" applyNumberFormat="1"/>
    <xf borderId="0" fillId="0" fontId="5" numFmtId="0" xfId="0" applyAlignment="1" applyFont="1">
      <alignment horizontal="center" shrinkToFit="0" vertical="center" wrapText="1"/>
    </xf>
    <xf borderId="0" fillId="0" fontId="1" numFmtId="0" xfId="0" applyFont="1"/>
    <xf borderId="0" fillId="0" fontId="2" numFmtId="0" xfId="0" applyFont="1"/>
    <xf borderId="1" fillId="12" fontId="4" numFmtId="0" xfId="0" applyAlignment="1" applyBorder="1" applyFill="1" applyFont="1">
      <alignment horizontal="center" shrinkToFit="0" vertical="center" wrapText="1"/>
    </xf>
    <xf borderId="1" fillId="13" fontId="4" numFmtId="0" xfId="0" applyAlignment="1" applyBorder="1" applyFill="1" applyFont="1">
      <alignment horizontal="center" shrinkToFit="0" vertical="center" wrapText="1"/>
    </xf>
    <xf borderId="1" fillId="14" fontId="4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12.75"/>
    <col customWidth="1" min="3" max="16" width="8.63"/>
    <col customWidth="1" min="17" max="17" width="10.75"/>
    <col customWidth="1" min="18" max="29" width="8.63"/>
  </cols>
  <sheetData>
    <row r="1" ht="12.75" customHeight="1"/>
    <row r="2" ht="12.75" customHeight="1">
      <c r="A2" s="1" t="s">
        <v>0</v>
      </c>
      <c r="B2" s="1" t="s">
        <v>1</v>
      </c>
    </row>
    <row r="3" ht="12.75" customHeight="1"/>
    <row r="4" ht="12.75" customHeight="1">
      <c r="A4" s="1" t="s">
        <v>2</v>
      </c>
      <c r="B4" s="1" t="s">
        <v>3</v>
      </c>
    </row>
    <row r="5" ht="12.75" customHeight="1">
      <c r="A5" s="1" t="s">
        <v>4</v>
      </c>
      <c r="B5" s="1" t="s">
        <v>5</v>
      </c>
    </row>
    <row r="6" ht="12.75" customHeight="1">
      <c r="A6" s="1" t="s">
        <v>6</v>
      </c>
      <c r="B6" s="1" t="s">
        <v>7</v>
      </c>
    </row>
    <row r="7" ht="12.75" customHeight="1">
      <c r="A7" s="1" t="s">
        <v>8</v>
      </c>
      <c r="B7" s="2">
        <v>45925.0</v>
      </c>
    </row>
    <row r="8" ht="12.75" customHeight="1">
      <c r="A8" s="1" t="s">
        <v>9</v>
      </c>
      <c r="B8" s="3">
        <v>0.6584837962962963</v>
      </c>
    </row>
    <row r="9" ht="12.75" customHeight="1">
      <c r="A9" s="1" t="s">
        <v>10</v>
      </c>
      <c r="B9" s="1" t="s">
        <v>11</v>
      </c>
    </row>
    <row r="10" ht="12.75" customHeight="1">
      <c r="A10" s="1" t="s">
        <v>12</v>
      </c>
      <c r="B10" s="1">
        <v>2.5030902E7</v>
      </c>
    </row>
    <row r="11" ht="12.75" customHeight="1">
      <c r="A11" s="1" t="s">
        <v>13</v>
      </c>
      <c r="B11" s="1" t="s">
        <v>14</v>
      </c>
    </row>
    <row r="12" ht="12.75" customHeight="1"/>
    <row r="13" ht="12.75" customHeight="1">
      <c r="A13" s="4" t="s">
        <v>15</v>
      </c>
      <c r="B13" s="5"/>
    </row>
    <row r="14" ht="12.75" customHeight="1">
      <c r="A14" s="1" t="s">
        <v>16</v>
      </c>
      <c r="B14" s="1" t="s">
        <v>17</v>
      </c>
    </row>
    <row r="15" ht="12.75" customHeight="1">
      <c r="A15" s="1" t="s">
        <v>18</v>
      </c>
    </row>
    <row r="16" ht="12.75" customHeight="1">
      <c r="A16" s="1" t="s">
        <v>19</v>
      </c>
      <c r="B16" s="1" t="s">
        <v>20</v>
      </c>
    </row>
    <row r="17" ht="12.75" customHeight="1">
      <c r="B17" s="1" t="s">
        <v>21</v>
      </c>
    </row>
    <row r="18" ht="12.75" customHeight="1">
      <c r="B18" s="1" t="s">
        <v>22</v>
      </c>
    </row>
    <row r="19" ht="12.75" customHeight="1">
      <c r="B19" s="1" t="s">
        <v>23</v>
      </c>
    </row>
    <row r="20" ht="12.75" customHeight="1"/>
    <row r="21" ht="12.75" customHeight="1">
      <c r="A21" s="4" t="s">
        <v>24</v>
      </c>
      <c r="B21" s="5"/>
    </row>
    <row r="22" ht="12.75" customHeight="1">
      <c r="A22" s="1" t="s">
        <v>25</v>
      </c>
      <c r="B22" s="1">
        <v>26.2</v>
      </c>
    </row>
    <row r="23" ht="12.75" customHeight="1">
      <c r="C23" s="6">
        <v>2868.0</v>
      </c>
      <c r="D23" s="6" t="s">
        <v>26</v>
      </c>
      <c r="E23" s="6" t="s">
        <v>27</v>
      </c>
      <c r="F23" s="6">
        <v>2875.0</v>
      </c>
      <c r="G23" s="6" t="s">
        <v>28</v>
      </c>
      <c r="H23" s="6" t="s">
        <v>29</v>
      </c>
      <c r="I23" s="6">
        <v>2876.0</v>
      </c>
      <c r="J23" s="6" t="s">
        <v>30</v>
      </c>
      <c r="K23" s="6" t="s">
        <v>26</v>
      </c>
      <c r="L23" s="6">
        <v>5192.0</v>
      </c>
      <c r="M23" s="6" t="s">
        <v>31</v>
      </c>
      <c r="N23" s="6" t="s">
        <v>32</v>
      </c>
    </row>
    <row r="24" ht="12.75" customHeight="1">
      <c r="A24" s="6" t="s">
        <v>33</v>
      </c>
      <c r="B24" s="7"/>
      <c r="C24" s="8">
        <v>2868.0</v>
      </c>
      <c r="D24" s="8" t="s">
        <v>34</v>
      </c>
      <c r="E24" s="8" t="s">
        <v>35</v>
      </c>
      <c r="F24" s="8">
        <v>2875.0</v>
      </c>
      <c r="G24" s="8" t="s">
        <v>36</v>
      </c>
      <c r="H24" s="8" t="s">
        <v>37</v>
      </c>
      <c r="I24" s="8">
        <v>2876.0</v>
      </c>
      <c r="J24" s="8" t="s">
        <v>38</v>
      </c>
      <c r="K24" s="8" t="s">
        <v>34</v>
      </c>
      <c r="L24" s="8">
        <v>5192.0</v>
      </c>
      <c r="M24" s="8" t="s">
        <v>39</v>
      </c>
      <c r="N24" s="8" t="s">
        <v>40</v>
      </c>
    </row>
    <row r="25" ht="12.75" customHeight="1">
      <c r="A25" s="6">
        <v>0.0</v>
      </c>
      <c r="B25" s="9" t="s">
        <v>41</v>
      </c>
      <c r="C25" s="10">
        <v>0.095</v>
      </c>
      <c r="D25" s="10">
        <v>0.092</v>
      </c>
      <c r="E25" s="10">
        <v>0.093</v>
      </c>
      <c r="F25" s="10">
        <v>0.094</v>
      </c>
      <c r="G25" s="10">
        <v>0.093</v>
      </c>
      <c r="H25" s="10">
        <v>0.098</v>
      </c>
      <c r="I25" s="10">
        <v>0.099</v>
      </c>
      <c r="J25" s="10">
        <v>0.094</v>
      </c>
      <c r="K25" s="10">
        <v>0.095</v>
      </c>
      <c r="L25" s="10">
        <v>0.094</v>
      </c>
      <c r="M25" s="10">
        <v>0.094</v>
      </c>
      <c r="N25" s="10">
        <v>0.093</v>
      </c>
      <c r="O25" s="11">
        <v>600.0</v>
      </c>
      <c r="P25" s="1">
        <f>AVERAGE(C25:N25)</f>
        <v>0.0945</v>
      </c>
    </row>
    <row r="26" ht="12.75" customHeight="1">
      <c r="A26" s="6">
        <v>0.0</v>
      </c>
      <c r="B26" s="9" t="s">
        <v>42</v>
      </c>
      <c r="C26" s="12">
        <v>1.381</v>
      </c>
      <c r="D26" s="12">
        <v>1.39</v>
      </c>
      <c r="E26" s="12">
        <v>1.362</v>
      </c>
      <c r="F26" s="12">
        <v>1.39</v>
      </c>
      <c r="G26" s="12">
        <v>1.399</v>
      </c>
      <c r="H26" s="12">
        <v>1.369</v>
      </c>
      <c r="I26" s="13">
        <v>1.438</v>
      </c>
      <c r="J26" s="14">
        <v>1.215</v>
      </c>
      <c r="K26" s="13">
        <v>1.452</v>
      </c>
      <c r="L26" s="12">
        <v>1.31</v>
      </c>
      <c r="M26" s="12">
        <v>1.396</v>
      </c>
      <c r="N26" s="12">
        <v>1.372</v>
      </c>
      <c r="O26" s="11">
        <v>600.0</v>
      </c>
    </row>
    <row r="27" ht="12.75" customHeight="1">
      <c r="A27" s="6">
        <v>0.004</v>
      </c>
      <c r="B27" s="9" t="s">
        <v>43</v>
      </c>
      <c r="C27" s="13">
        <v>1.412</v>
      </c>
      <c r="D27" s="13">
        <v>1.464</v>
      </c>
      <c r="E27" s="13">
        <v>1.472</v>
      </c>
      <c r="F27" s="13">
        <v>1.47</v>
      </c>
      <c r="G27" s="13">
        <v>1.477</v>
      </c>
      <c r="H27" s="13">
        <v>1.486</v>
      </c>
      <c r="I27" s="13">
        <v>1.504</v>
      </c>
      <c r="J27" s="15">
        <v>1.187</v>
      </c>
      <c r="K27" s="13">
        <v>1.499</v>
      </c>
      <c r="L27" s="13">
        <v>1.475</v>
      </c>
      <c r="M27" s="13">
        <v>1.485</v>
      </c>
      <c r="N27" s="13">
        <v>1.429</v>
      </c>
      <c r="O27" s="11">
        <v>600.0</v>
      </c>
    </row>
    <row r="28" ht="12.75" customHeight="1">
      <c r="A28" s="6">
        <v>0.008</v>
      </c>
      <c r="B28" s="9" t="s">
        <v>44</v>
      </c>
      <c r="C28" s="12">
        <v>1.386</v>
      </c>
      <c r="D28" s="13">
        <v>1.447</v>
      </c>
      <c r="E28" s="13">
        <v>1.444</v>
      </c>
      <c r="F28" s="13">
        <v>1.443</v>
      </c>
      <c r="G28" s="13">
        <v>1.452</v>
      </c>
      <c r="H28" s="13">
        <v>1.462</v>
      </c>
      <c r="I28" s="13">
        <v>1.459</v>
      </c>
      <c r="J28" s="16">
        <v>0.337</v>
      </c>
      <c r="K28" s="13">
        <v>1.455</v>
      </c>
      <c r="L28" s="13">
        <v>1.464</v>
      </c>
      <c r="M28" s="13">
        <v>1.456</v>
      </c>
      <c r="N28" s="12">
        <v>1.393</v>
      </c>
      <c r="O28" s="11">
        <v>600.0</v>
      </c>
    </row>
    <row r="29" ht="12.75" customHeight="1">
      <c r="A29" s="6">
        <v>0.016</v>
      </c>
      <c r="B29" s="9" t="s">
        <v>45</v>
      </c>
      <c r="C29" s="14">
        <v>1.232</v>
      </c>
      <c r="D29" s="13">
        <v>1.429</v>
      </c>
      <c r="E29" s="12">
        <v>1.387</v>
      </c>
      <c r="F29" s="15">
        <v>1.185</v>
      </c>
      <c r="G29" s="13">
        <v>1.421</v>
      </c>
      <c r="H29" s="13">
        <v>1.43</v>
      </c>
      <c r="I29" s="17">
        <v>0.444</v>
      </c>
      <c r="J29" s="10">
        <v>0.164</v>
      </c>
      <c r="K29" s="15">
        <v>1.194</v>
      </c>
      <c r="L29" s="18">
        <v>0.852</v>
      </c>
      <c r="M29" s="14">
        <v>1.233</v>
      </c>
      <c r="N29" s="14">
        <v>1.244</v>
      </c>
      <c r="O29" s="11">
        <v>600.0</v>
      </c>
    </row>
    <row r="30" ht="12.75" customHeight="1">
      <c r="A30" s="6">
        <v>0.032</v>
      </c>
      <c r="B30" s="9" t="s">
        <v>46</v>
      </c>
      <c r="C30" s="10">
        <v>0.116</v>
      </c>
      <c r="D30" s="19">
        <v>0.207</v>
      </c>
      <c r="E30" s="10">
        <v>0.192</v>
      </c>
      <c r="F30" s="19">
        <v>0.193</v>
      </c>
      <c r="G30" s="19">
        <v>0.195</v>
      </c>
      <c r="H30" s="19">
        <v>0.195</v>
      </c>
      <c r="I30" s="10">
        <v>0.169</v>
      </c>
      <c r="J30" s="10">
        <v>0.161</v>
      </c>
      <c r="K30" s="10">
        <v>0.18</v>
      </c>
      <c r="L30" s="19">
        <v>0.218</v>
      </c>
      <c r="M30" s="10">
        <v>0.181</v>
      </c>
      <c r="N30" s="10">
        <v>0.118</v>
      </c>
      <c r="O30" s="11">
        <v>600.0</v>
      </c>
    </row>
    <row r="31" ht="12.75" customHeight="1">
      <c r="A31" s="6">
        <v>0.064</v>
      </c>
      <c r="B31" s="9" t="s">
        <v>47</v>
      </c>
      <c r="C31" s="10">
        <v>0.106</v>
      </c>
      <c r="D31" s="10">
        <v>0.167</v>
      </c>
      <c r="E31" s="10">
        <v>0.172</v>
      </c>
      <c r="F31" s="10">
        <v>0.169</v>
      </c>
      <c r="G31" s="10">
        <v>0.169</v>
      </c>
      <c r="H31" s="10">
        <v>0.175</v>
      </c>
      <c r="I31" s="10">
        <v>0.166</v>
      </c>
      <c r="J31" s="10">
        <v>0.169</v>
      </c>
      <c r="K31" s="10">
        <v>0.168</v>
      </c>
      <c r="L31" s="10">
        <v>0.173</v>
      </c>
      <c r="M31" s="10">
        <v>0.164</v>
      </c>
      <c r="N31" s="10">
        <v>0.099</v>
      </c>
      <c r="O31" s="11">
        <v>600.0</v>
      </c>
    </row>
    <row r="32" ht="12.75" customHeight="1">
      <c r="A32" s="6">
        <v>0.128</v>
      </c>
      <c r="B32" s="9" t="s">
        <v>48</v>
      </c>
      <c r="C32" s="10">
        <v>0.11</v>
      </c>
      <c r="D32" s="10">
        <v>0.137</v>
      </c>
      <c r="E32" s="10">
        <v>0.148</v>
      </c>
      <c r="F32" s="10">
        <v>0.155</v>
      </c>
      <c r="G32" s="10">
        <v>0.157</v>
      </c>
      <c r="H32" s="10">
        <v>0.154</v>
      </c>
      <c r="I32" s="10">
        <v>0.155</v>
      </c>
      <c r="J32" s="10">
        <v>0.142</v>
      </c>
      <c r="K32" s="10">
        <v>0.141</v>
      </c>
      <c r="L32" s="10">
        <v>0.146</v>
      </c>
      <c r="M32" s="10">
        <v>0.099</v>
      </c>
      <c r="N32" s="10">
        <v>0.098</v>
      </c>
      <c r="O32" s="11">
        <v>600.0</v>
      </c>
    </row>
    <row r="33" ht="12.75" customHeight="1"/>
    <row r="34" ht="12.75" customHeight="1">
      <c r="C34" s="1">
        <f t="shared" ref="C34:N34" si="1">C26-$P$25</f>
        <v>1.2865</v>
      </c>
      <c r="D34" s="1">
        <f t="shared" si="1"/>
        <v>1.2955</v>
      </c>
      <c r="E34" s="1">
        <f t="shared" si="1"/>
        <v>1.2675</v>
      </c>
      <c r="F34" s="1">
        <f t="shared" si="1"/>
        <v>1.2955</v>
      </c>
      <c r="G34" s="1">
        <f t="shared" si="1"/>
        <v>1.3045</v>
      </c>
      <c r="H34" s="1">
        <f t="shared" si="1"/>
        <v>1.2745</v>
      </c>
      <c r="I34" s="1">
        <f t="shared" si="1"/>
        <v>1.3435</v>
      </c>
      <c r="J34" s="1">
        <f t="shared" si="1"/>
        <v>1.1205</v>
      </c>
      <c r="K34" s="1">
        <f t="shared" si="1"/>
        <v>1.3575</v>
      </c>
      <c r="L34" s="1">
        <f t="shared" si="1"/>
        <v>1.2155</v>
      </c>
      <c r="M34" s="1">
        <f t="shared" si="1"/>
        <v>1.3015</v>
      </c>
      <c r="N34" s="1">
        <f t="shared" si="1"/>
        <v>1.2775</v>
      </c>
      <c r="Q34" s="20" t="s">
        <v>49</v>
      </c>
      <c r="R34" s="8">
        <v>2868.0</v>
      </c>
      <c r="S34" s="8" t="s">
        <v>34</v>
      </c>
      <c r="T34" s="8" t="s">
        <v>35</v>
      </c>
      <c r="U34" s="8">
        <v>2875.0</v>
      </c>
      <c r="V34" s="8" t="s">
        <v>36</v>
      </c>
      <c r="W34" s="8" t="s">
        <v>37</v>
      </c>
      <c r="X34" s="8">
        <v>2876.0</v>
      </c>
      <c r="Y34" s="8" t="s">
        <v>38</v>
      </c>
      <c r="Z34" s="8" t="s">
        <v>34</v>
      </c>
      <c r="AA34" s="8">
        <v>5192.0</v>
      </c>
      <c r="AB34" s="8" t="s">
        <v>39</v>
      </c>
      <c r="AC34" s="8" t="s">
        <v>40</v>
      </c>
    </row>
    <row r="35" ht="12.75" customHeight="1">
      <c r="C35" s="1">
        <f t="shared" ref="C35:N35" si="2">C27-$P$25</f>
        <v>1.3175</v>
      </c>
      <c r="D35" s="1">
        <f t="shared" si="2"/>
        <v>1.3695</v>
      </c>
      <c r="E35" s="1">
        <f t="shared" si="2"/>
        <v>1.3775</v>
      </c>
      <c r="F35" s="1">
        <f t="shared" si="2"/>
        <v>1.3755</v>
      </c>
      <c r="G35" s="1">
        <f t="shared" si="2"/>
        <v>1.3825</v>
      </c>
      <c r="H35" s="1">
        <f t="shared" si="2"/>
        <v>1.3915</v>
      </c>
      <c r="I35" s="1">
        <f t="shared" si="2"/>
        <v>1.4095</v>
      </c>
      <c r="J35" s="1">
        <f t="shared" si="2"/>
        <v>1.0925</v>
      </c>
      <c r="K35" s="1">
        <f t="shared" si="2"/>
        <v>1.4045</v>
      </c>
      <c r="L35" s="1">
        <f t="shared" si="2"/>
        <v>1.3805</v>
      </c>
      <c r="M35" s="1">
        <f t="shared" si="2"/>
        <v>1.3905</v>
      </c>
      <c r="N35" s="1">
        <f t="shared" si="2"/>
        <v>1.3345</v>
      </c>
      <c r="Q35" s="8" t="s">
        <v>50</v>
      </c>
      <c r="R35" s="21">
        <f t="shared" ref="R35:AC35" si="3">average(C42,C51,C60)</f>
        <v>1</v>
      </c>
      <c r="S35" s="21">
        <f t="shared" si="3"/>
        <v>1</v>
      </c>
      <c r="T35" s="21">
        <f t="shared" si="3"/>
        <v>1</v>
      </c>
      <c r="U35" s="21">
        <f t="shared" si="3"/>
        <v>1</v>
      </c>
      <c r="V35" s="21">
        <f t="shared" si="3"/>
        <v>1</v>
      </c>
      <c r="W35" s="21">
        <f t="shared" si="3"/>
        <v>1</v>
      </c>
      <c r="X35" s="21">
        <f t="shared" si="3"/>
        <v>1</v>
      </c>
      <c r="Y35" s="21">
        <f t="shared" si="3"/>
        <v>1</v>
      </c>
      <c r="Z35" s="21">
        <f t="shared" si="3"/>
        <v>1</v>
      </c>
      <c r="AA35" s="21">
        <f t="shared" si="3"/>
        <v>1</v>
      </c>
      <c r="AB35" s="21">
        <f t="shared" si="3"/>
        <v>1</v>
      </c>
      <c r="AC35" s="21">
        <f t="shared" si="3"/>
        <v>1</v>
      </c>
    </row>
    <row r="36" ht="12.75" customHeight="1">
      <c r="C36" s="1">
        <f t="shared" ref="C36:N36" si="4">C28-$P$25</f>
        <v>1.2915</v>
      </c>
      <c r="D36" s="1">
        <f t="shared" si="4"/>
        <v>1.3525</v>
      </c>
      <c r="E36" s="1">
        <f t="shared" si="4"/>
        <v>1.3495</v>
      </c>
      <c r="F36" s="1">
        <f t="shared" si="4"/>
        <v>1.3485</v>
      </c>
      <c r="G36" s="1">
        <f t="shared" si="4"/>
        <v>1.3575</v>
      </c>
      <c r="H36" s="1">
        <f t="shared" si="4"/>
        <v>1.3675</v>
      </c>
      <c r="I36" s="1">
        <f t="shared" si="4"/>
        <v>1.3645</v>
      </c>
      <c r="J36" s="1">
        <f t="shared" si="4"/>
        <v>0.2425</v>
      </c>
      <c r="K36" s="1">
        <f t="shared" si="4"/>
        <v>1.3605</v>
      </c>
      <c r="L36" s="1">
        <f t="shared" si="4"/>
        <v>1.3695</v>
      </c>
      <c r="M36" s="1">
        <f t="shared" si="4"/>
        <v>1.3615</v>
      </c>
      <c r="N36" s="1">
        <f t="shared" si="4"/>
        <v>1.2985</v>
      </c>
      <c r="Q36" s="8" t="s">
        <v>51</v>
      </c>
      <c r="R36" s="21">
        <f t="shared" ref="R36:AC36" si="5">average(C43,C52,C61)</f>
        <v>1.002313942</v>
      </c>
      <c r="S36" s="21">
        <f t="shared" si="5"/>
        <v>1.031107633</v>
      </c>
      <c r="T36" s="21">
        <f t="shared" si="5"/>
        <v>1.049595886</v>
      </c>
      <c r="U36" s="21">
        <f t="shared" si="5"/>
        <v>1.029451481</v>
      </c>
      <c r="V36" s="21">
        <f t="shared" si="5"/>
        <v>1.03821035</v>
      </c>
      <c r="W36" s="21">
        <f t="shared" si="5"/>
        <v>1.057522496</v>
      </c>
      <c r="X36" s="21">
        <f t="shared" si="5"/>
        <v>1.049656876</v>
      </c>
      <c r="Y36" s="21">
        <f t="shared" si="5"/>
        <v>0.9683699574</v>
      </c>
      <c r="Z36" s="21">
        <f t="shared" si="5"/>
        <v>1.039851454</v>
      </c>
      <c r="AA36" s="21">
        <f t="shared" si="5"/>
        <v>1.106129648</v>
      </c>
      <c r="AB36" s="21">
        <f t="shared" si="5"/>
        <v>1.058415111</v>
      </c>
      <c r="AC36" s="21">
        <f t="shared" si="5"/>
        <v>1.033342182</v>
      </c>
    </row>
    <row r="37" ht="12.75" customHeight="1">
      <c r="C37" s="1">
        <f t="shared" ref="C37:N37" si="6">C29-$P$25</f>
        <v>1.1375</v>
      </c>
      <c r="D37" s="1">
        <f t="shared" si="6"/>
        <v>1.3345</v>
      </c>
      <c r="E37" s="1">
        <f t="shared" si="6"/>
        <v>1.2925</v>
      </c>
      <c r="F37" s="1">
        <f t="shared" si="6"/>
        <v>1.0905</v>
      </c>
      <c r="G37" s="1">
        <f t="shared" si="6"/>
        <v>1.3265</v>
      </c>
      <c r="H37" s="1">
        <f t="shared" si="6"/>
        <v>1.3355</v>
      </c>
      <c r="I37" s="1">
        <f t="shared" si="6"/>
        <v>0.3495</v>
      </c>
      <c r="J37" s="1">
        <f t="shared" si="6"/>
        <v>0.0695</v>
      </c>
      <c r="K37" s="1">
        <f t="shared" si="6"/>
        <v>1.0995</v>
      </c>
      <c r="L37" s="1">
        <f t="shared" si="6"/>
        <v>0.7575</v>
      </c>
      <c r="M37" s="1">
        <f t="shared" si="6"/>
        <v>1.1385</v>
      </c>
      <c r="N37" s="1">
        <f t="shared" si="6"/>
        <v>1.1495</v>
      </c>
      <c r="Q37" s="8" t="s">
        <v>52</v>
      </c>
      <c r="R37" s="21">
        <f t="shared" ref="R37:AC37" si="7">average(C44,C53,C62)</f>
        <v>0.987476339</v>
      </c>
      <c r="S37" s="21">
        <f t="shared" si="7"/>
        <v>1.027697547</v>
      </c>
      <c r="T37" s="21">
        <f t="shared" si="7"/>
        <v>1.03388995</v>
      </c>
      <c r="U37" s="21">
        <f t="shared" si="7"/>
        <v>1.011637698</v>
      </c>
      <c r="V37" s="21">
        <f t="shared" si="7"/>
        <v>1.023125128</v>
      </c>
      <c r="W37" s="21">
        <f t="shared" si="7"/>
        <v>1.039987036</v>
      </c>
      <c r="X37" s="21">
        <f t="shared" si="7"/>
        <v>1.016123615</v>
      </c>
      <c r="Y37" s="21">
        <f t="shared" si="7"/>
        <v>0.2346634027</v>
      </c>
      <c r="Z37" s="21">
        <f t="shared" si="7"/>
        <v>1.010978427</v>
      </c>
      <c r="AA37" s="21">
        <f t="shared" si="7"/>
        <v>1.088695875</v>
      </c>
      <c r="AB37" s="21">
        <f t="shared" si="7"/>
        <v>1.034619832</v>
      </c>
      <c r="AC37" s="21">
        <f t="shared" si="7"/>
        <v>1.009584763</v>
      </c>
    </row>
    <row r="38" ht="12.75" customHeight="1">
      <c r="C38" s="1">
        <f t="shared" ref="C38:N38" si="8">C30-$P$25</f>
        <v>0.0215</v>
      </c>
      <c r="D38" s="1">
        <f t="shared" si="8"/>
        <v>0.1125</v>
      </c>
      <c r="E38" s="1">
        <f t="shared" si="8"/>
        <v>0.0975</v>
      </c>
      <c r="F38" s="1">
        <f t="shared" si="8"/>
        <v>0.0985</v>
      </c>
      <c r="G38" s="1">
        <f t="shared" si="8"/>
        <v>0.1005</v>
      </c>
      <c r="H38" s="1">
        <f t="shared" si="8"/>
        <v>0.1005</v>
      </c>
      <c r="I38" s="1">
        <f t="shared" si="8"/>
        <v>0.0745</v>
      </c>
      <c r="J38" s="1">
        <f t="shared" si="8"/>
        <v>0.0665</v>
      </c>
      <c r="K38" s="1">
        <f t="shared" si="8"/>
        <v>0.0855</v>
      </c>
      <c r="L38" s="1">
        <f t="shared" si="8"/>
        <v>0.1235</v>
      </c>
      <c r="M38" s="1">
        <f t="shared" si="8"/>
        <v>0.0865</v>
      </c>
      <c r="N38" s="1">
        <f t="shared" si="8"/>
        <v>0.0235</v>
      </c>
      <c r="Q38" s="8" t="s">
        <v>53</v>
      </c>
      <c r="R38" s="21">
        <f t="shared" ref="R38:AC38" si="9">average(C45,C54,C63)</f>
        <v>0.8264803548</v>
      </c>
      <c r="S38" s="21">
        <f t="shared" si="9"/>
        <v>1.007738721</v>
      </c>
      <c r="T38" s="21">
        <f t="shared" si="9"/>
        <v>0.9810718454</v>
      </c>
      <c r="U38" s="21">
        <f t="shared" si="9"/>
        <v>0.6178700074</v>
      </c>
      <c r="V38" s="21">
        <f t="shared" si="9"/>
        <v>0.9763589352</v>
      </c>
      <c r="W38" s="21">
        <f t="shared" si="9"/>
        <v>0.9953259299</v>
      </c>
      <c r="X38" s="21">
        <f t="shared" si="9"/>
        <v>0.2291236396</v>
      </c>
      <c r="Y38" s="21">
        <f t="shared" si="9"/>
        <v>0.06133388648</v>
      </c>
      <c r="Z38" s="21">
        <f t="shared" si="9"/>
        <v>0.7188726872</v>
      </c>
      <c r="AA38" s="21">
        <f t="shared" si="9"/>
        <v>0.5738680024</v>
      </c>
      <c r="AB38" s="21">
        <f t="shared" si="9"/>
        <v>0.7640880491</v>
      </c>
      <c r="AC38" s="21">
        <f t="shared" si="9"/>
        <v>0.8078258261</v>
      </c>
    </row>
    <row r="39" ht="12.75" customHeight="1">
      <c r="C39" s="1">
        <f t="shared" ref="C39:N39" si="10">C31-$P$25</f>
        <v>0.0115</v>
      </c>
      <c r="D39" s="1">
        <f t="shared" si="10"/>
        <v>0.0725</v>
      </c>
      <c r="E39" s="1">
        <f t="shared" si="10"/>
        <v>0.0775</v>
      </c>
      <c r="F39" s="1">
        <f t="shared" si="10"/>
        <v>0.0745</v>
      </c>
      <c r="G39" s="1">
        <f t="shared" si="10"/>
        <v>0.0745</v>
      </c>
      <c r="H39" s="1">
        <f t="shared" si="10"/>
        <v>0.0805</v>
      </c>
      <c r="I39" s="1">
        <f t="shared" si="10"/>
        <v>0.0715</v>
      </c>
      <c r="J39" s="1">
        <f t="shared" si="10"/>
        <v>0.0745</v>
      </c>
      <c r="K39" s="1">
        <f t="shared" si="10"/>
        <v>0.0735</v>
      </c>
      <c r="L39" s="1">
        <f t="shared" si="10"/>
        <v>0.0785</v>
      </c>
      <c r="M39" s="1">
        <f t="shared" si="10"/>
        <v>0.0695</v>
      </c>
      <c r="N39" s="1">
        <f t="shared" si="10"/>
        <v>0.0045</v>
      </c>
      <c r="Q39" s="8" t="s">
        <v>54</v>
      </c>
      <c r="R39" s="21">
        <f t="shared" ref="R39:AC39" si="11">average(C46,C55,C64)</f>
        <v>0.02417585717</v>
      </c>
      <c r="S39" s="21">
        <f t="shared" si="11"/>
        <v>0.07473366459</v>
      </c>
      <c r="T39" s="21">
        <f t="shared" si="11"/>
        <v>0.06820033028</v>
      </c>
      <c r="U39" s="21">
        <f t="shared" si="11"/>
        <v>0.06151483516</v>
      </c>
      <c r="V39" s="21">
        <f t="shared" si="11"/>
        <v>0.07137344999</v>
      </c>
      <c r="W39" s="21">
        <f t="shared" si="11"/>
        <v>0.07211211141</v>
      </c>
      <c r="X39" s="21">
        <f t="shared" si="11"/>
        <v>0.05875227883</v>
      </c>
      <c r="Y39" s="21">
        <f t="shared" si="11"/>
        <v>0.05456906815</v>
      </c>
      <c r="Z39" s="21">
        <f t="shared" si="11"/>
        <v>0.05874918383</v>
      </c>
      <c r="AA39" s="21">
        <f t="shared" si="11"/>
        <v>0.07027421283</v>
      </c>
      <c r="AB39" s="21">
        <f t="shared" si="11"/>
        <v>0.05434653551</v>
      </c>
      <c r="AC39" s="21">
        <f t="shared" si="11"/>
        <v>0.01560235906</v>
      </c>
    </row>
    <row r="40" ht="12.75" customHeight="1">
      <c r="C40" s="1">
        <f t="shared" ref="C40:N40" si="12">C32-$P$25</f>
        <v>0.0155</v>
      </c>
      <c r="D40" s="1">
        <f t="shared" si="12"/>
        <v>0.0425</v>
      </c>
      <c r="E40" s="1">
        <f t="shared" si="12"/>
        <v>0.0535</v>
      </c>
      <c r="F40" s="1">
        <f t="shared" si="12"/>
        <v>0.0605</v>
      </c>
      <c r="G40" s="1">
        <f t="shared" si="12"/>
        <v>0.0625</v>
      </c>
      <c r="H40" s="1">
        <f t="shared" si="12"/>
        <v>0.0595</v>
      </c>
      <c r="I40" s="1">
        <f t="shared" si="12"/>
        <v>0.0605</v>
      </c>
      <c r="J40" s="1">
        <f t="shared" si="12"/>
        <v>0.0475</v>
      </c>
      <c r="K40" s="1">
        <f t="shared" si="12"/>
        <v>0.0465</v>
      </c>
      <c r="L40" s="1">
        <f t="shared" si="12"/>
        <v>0.0515</v>
      </c>
      <c r="M40" s="1">
        <f t="shared" si="12"/>
        <v>0.0045</v>
      </c>
      <c r="N40" s="1">
        <f t="shared" si="12"/>
        <v>0.0035</v>
      </c>
      <c r="Q40" s="8" t="s">
        <v>55</v>
      </c>
      <c r="R40" s="21">
        <f t="shared" ref="R40:AC40" si="13">average(C47,C56,C65)</f>
        <v>0.008747143108</v>
      </c>
      <c r="S40" s="21">
        <f t="shared" si="13"/>
        <v>0.05039054225</v>
      </c>
      <c r="T40" s="21">
        <f t="shared" si="13"/>
        <v>0.05153593141</v>
      </c>
      <c r="U40" s="21">
        <f t="shared" si="13"/>
        <v>0.04897126827</v>
      </c>
      <c r="V40" s="21">
        <f t="shared" si="13"/>
        <v>0.04936519441</v>
      </c>
      <c r="W40" s="21">
        <f t="shared" si="13"/>
        <v>0.05165651185</v>
      </c>
      <c r="X40" s="21">
        <f t="shared" si="13"/>
        <v>0.04683348075</v>
      </c>
      <c r="Y40" s="21">
        <f t="shared" si="13"/>
        <v>0.05335284593</v>
      </c>
      <c r="Z40" s="21">
        <f t="shared" si="13"/>
        <v>0.04894918307</v>
      </c>
      <c r="AA40" s="21">
        <f t="shared" si="13"/>
        <v>0.0475761235</v>
      </c>
      <c r="AB40" s="21">
        <f t="shared" si="13"/>
        <v>0.04133572534</v>
      </c>
      <c r="AC40" s="21">
        <f t="shared" si="13"/>
        <v>0.00962002341</v>
      </c>
    </row>
    <row r="41" ht="12.75" customHeight="1">
      <c r="C41" s="8">
        <v>2868.0</v>
      </c>
      <c r="D41" s="8" t="s">
        <v>34</v>
      </c>
      <c r="E41" s="8" t="s">
        <v>35</v>
      </c>
      <c r="F41" s="8">
        <v>2875.0</v>
      </c>
      <c r="G41" s="8" t="s">
        <v>36</v>
      </c>
      <c r="H41" s="8" t="s">
        <v>37</v>
      </c>
      <c r="I41" s="8">
        <v>2876.0</v>
      </c>
      <c r="J41" s="8" t="s">
        <v>38</v>
      </c>
      <c r="K41" s="8" t="s">
        <v>34</v>
      </c>
      <c r="L41" s="8">
        <v>5192.0</v>
      </c>
      <c r="M41" s="8" t="s">
        <v>39</v>
      </c>
      <c r="N41" s="8" t="s">
        <v>40</v>
      </c>
      <c r="Q41" s="8" t="s">
        <v>56</v>
      </c>
      <c r="R41" s="21">
        <f t="shared" ref="R41:AC41" si="14">average(C48,C57,C66)</f>
        <v>0.01383047477</v>
      </c>
      <c r="S41" s="21">
        <f t="shared" si="14"/>
        <v>0.03263474814</v>
      </c>
      <c r="T41" s="21">
        <f t="shared" si="14"/>
        <v>0.03406077482</v>
      </c>
      <c r="U41" s="21">
        <f t="shared" si="14"/>
        <v>0.03169237969</v>
      </c>
      <c r="V41" s="21">
        <f t="shared" si="14"/>
        <v>0.03271770007</v>
      </c>
      <c r="W41" s="21">
        <f t="shared" si="14"/>
        <v>0.02049379413</v>
      </c>
      <c r="X41" s="21">
        <f t="shared" si="14"/>
        <v>0.02633853519</v>
      </c>
      <c r="Y41" s="21">
        <f t="shared" si="14"/>
        <v>0.02707722196</v>
      </c>
      <c r="Z41" s="21">
        <f t="shared" si="14"/>
        <v>0.02851151083</v>
      </c>
      <c r="AA41" s="21">
        <f t="shared" si="14"/>
        <v>0.01539265574</v>
      </c>
      <c r="AB41" s="21">
        <f t="shared" si="14"/>
        <v>0.01806602048</v>
      </c>
      <c r="AC41" s="21">
        <f t="shared" si="14"/>
        <v>0.01654305812</v>
      </c>
    </row>
    <row r="42" ht="12.75" customHeight="1">
      <c r="C42" s="1">
        <f t="shared" ref="C42:C48" si="15">C34/$C$34</f>
        <v>1</v>
      </c>
      <c r="D42" s="1">
        <f t="shared" ref="D42:D48" si="16">D34/$D$34</f>
        <v>1</v>
      </c>
      <c r="E42" s="1">
        <f t="shared" ref="E42:E48" si="17">E34/$E$34</f>
        <v>1</v>
      </c>
      <c r="F42" s="1">
        <f t="shared" ref="F42:F48" si="18">F34/$F$34</f>
        <v>1</v>
      </c>
      <c r="G42" s="1">
        <f t="shared" ref="G42:G48" si="19">G34/$G$34</f>
        <v>1</v>
      </c>
      <c r="H42" s="1">
        <f t="shared" ref="H42:H48" si="20">H34/$H$34</f>
        <v>1</v>
      </c>
      <c r="I42" s="1">
        <f t="shared" ref="I42:I48" si="21">I34/$I$34</f>
        <v>1</v>
      </c>
      <c r="J42" s="1">
        <f t="shared" ref="J42:J48" si="22">J34/$J$34</f>
        <v>1</v>
      </c>
      <c r="K42" s="1">
        <f t="shared" ref="K42:K48" si="23">K34/$K$34</f>
        <v>1</v>
      </c>
      <c r="L42" s="1">
        <f t="shared" ref="L42:L48" si="24">L34/$L$34</f>
        <v>1</v>
      </c>
      <c r="M42" s="1">
        <f t="shared" ref="M42:M48" si="25">M34/$M$34</f>
        <v>1</v>
      </c>
      <c r="N42" s="1">
        <f t="shared" ref="N42:N48" si="26">N34/$N$34</f>
        <v>1</v>
      </c>
      <c r="Q42" s="22"/>
    </row>
    <row r="43" ht="12.75" customHeight="1">
      <c r="C43" s="1">
        <f t="shared" si="15"/>
        <v>1.024096386</v>
      </c>
      <c r="D43" s="1">
        <f t="shared" si="16"/>
        <v>1.057120803</v>
      </c>
      <c r="E43" s="1">
        <f t="shared" si="17"/>
        <v>1.08678501</v>
      </c>
      <c r="F43" s="1">
        <f t="shared" si="18"/>
        <v>1.061752219</v>
      </c>
      <c r="G43" s="1">
        <f t="shared" si="19"/>
        <v>1.059793024</v>
      </c>
      <c r="H43" s="1">
        <f t="shared" si="20"/>
        <v>1.091800706</v>
      </c>
      <c r="I43" s="1">
        <f t="shared" si="21"/>
        <v>1.049125419</v>
      </c>
      <c r="J43" s="1">
        <f t="shared" si="22"/>
        <v>0.9750111557</v>
      </c>
      <c r="K43" s="1">
        <f t="shared" si="23"/>
        <v>1.034622468</v>
      </c>
      <c r="L43" s="1">
        <f t="shared" si="24"/>
        <v>1.135746606</v>
      </c>
      <c r="M43" s="1">
        <f t="shared" si="25"/>
        <v>1.068382635</v>
      </c>
      <c r="N43" s="1">
        <f t="shared" si="26"/>
        <v>1.044618395</v>
      </c>
    </row>
    <row r="44" ht="12.75" customHeight="1">
      <c r="C44" s="1">
        <f t="shared" si="15"/>
        <v>1.003886514</v>
      </c>
      <c r="D44" s="1">
        <f t="shared" si="16"/>
        <v>1.043998456</v>
      </c>
      <c r="E44" s="1">
        <f t="shared" si="17"/>
        <v>1.06469428</v>
      </c>
      <c r="F44" s="1">
        <f t="shared" si="18"/>
        <v>1.040910845</v>
      </c>
      <c r="G44" s="1">
        <f t="shared" si="19"/>
        <v>1.040628593</v>
      </c>
      <c r="H44" s="1">
        <f t="shared" si="20"/>
        <v>1.072969792</v>
      </c>
      <c r="I44" s="1">
        <f t="shared" si="21"/>
        <v>1.015630815</v>
      </c>
      <c r="J44" s="1">
        <f t="shared" si="22"/>
        <v>0.2164212405</v>
      </c>
      <c r="K44" s="1">
        <f t="shared" si="23"/>
        <v>1.002209945</v>
      </c>
      <c r="L44" s="1">
        <f t="shared" si="24"/>
        <v>1.126696833</v>
      </c>
      <c r="M44" s="1">
        <f t="shared" si="25"/>
        <v>1.046100653</v>
      </c>
      <c r="N44" s="1">
        <f t="shared" si="26"/>
        <v>1.016438356</v>
      </c>
    </row>
    <row r="45" ht="12.75" customHeight="1">
      <c r="C45" s="1">
        <f t="shared" si="15"/>
        <v>0.8841818888</v>
      </c>
      <c r="D45" s="1">
        <f t="shared" si="16"/>
        <v>1.030104207</v>
      </c>
      <c r="E45" s="1">
        <f t="shared" si="17"/>
        <v>1.019723866</v>
      </c>
      <c r="F45" s="1">
        <f t="shared" si="18"/>
        <v>0.8417599382</v>
      </c>
      <c r="G45" s="1">
        <f t="shared" si="19"/>
        <v>1.016864699</v>
      </c>
      <c r="H45" s="1">
        <f t="shared" si="20"/>
        <v>1.047861907</v>
      </c>
      <c r="I45" s="1">
        <f t="shared" si="21"/>
        <v>0.2601414217</v>
      </c>
      <c r="J45" s="1">
        <f t="shared" si="22"/>
        <v>0.0620258813</v>
      </c>
      <c r="K45" s="1">
        <f t="shared" si="23"/>
        <v>0.8099447514</v>
      </c>
      <c r="L45" s="1">
        <f t="shared" si="24"/>
        <v>0.6232003291</v>
      </c>
      <c r="M45" s="1">
        <f t="shared" si="25"/>
        <v>0.8747598924</v>
      </c>
      <c r="N45" s="1">
        <f t="shared" si="26"/>
        <v>0.8998043053</v>
      </c>
    </row>
    <row r="46" ht="12.75" customHeight="1">
      <c r="C46" s="1">
        <f t="shared" si="15"/>
        <v>0.01671200933</v>
      </c>
      <c r="D46" s="1">
        <f t="shared" si="16"/>
        <v>0.08683905828</v>
      </c>
      <c r="E46" s="1">
        <f t="shared" si="17"/>
        <v>0.07692307692</v>
      </c>
      <c r="F46" s="1">
        <f t="shared" si="18"/>
        <v>0.07603241992</v>
      </c>
      <c r="G46" s="1">
        <f t="shared" si="19"/>
        <v>0.07704101188</v>
      </c>
      <c r="H46" s="1">
        <f t="shared" si="20"/>
        <v>0.07885445273</v>
      </c>
      <c r="I46" s="1">
        <f t="shared" si="21"/>
        <v>0.05545217715</v>
      </c>
      <c r="J46" s="1">
        <f t="shared" si="22"/>
        <v>0.05934850513</v>
      </c>
      <c r="K46" s="1">
        <f t="shared" si="23"/>
        <v>0.06298342541</v>
      </c>
      <c r="L46" s="1">
        <f t="shared" si="24"/>
        <v>0.1016042781</v>
      </c>
      <c r="M46" s="1">
        <f t="shared" si="25"/>
        <v>0.06646177488</v>
      </c>
      <c r="N46" s="1">
        <f t="shared" si="26"/>
        <v>0.01839530333</v>
      </c>
    </row>
    <row r="47" ht="12.75" customHeight="1">
      <c r="C47" s="1">
        <f t="shared" si="15"/>
        <v>0.008938981733</v>
      </c>
      <c r="D47" s="1">
        <f t="shared" si="16"/>
        <v>0.05596294867</v>
      </c>
      <c r="E47" s="1">
        <f t="shared" si="17"/>
        <v>0.06114398422</v>
      </c>
      <c r="F47" s="1">
        <f t="shared" si="18"/>
        <v>0.05750675415</v>
      </c>
      <c r="G47" s="1">
        <f t="shared" si="19"/>
        <v>0.05711000383</v>
      </c>
      <c r="H47" s="1">
        <f t="shared" si="20"/>
        <v>0.06316202432</v>
      </c>
      <c r="I47" s="1">
        <f t="shared" si="21"/>
        <v>0.05321920357</v>
      </c>
      <c r="J47" s="1">
        <f t="shared" si="22"/>
        <v>0.06648817492</v>
      </c>
      <c r="K47" s="1">
        <f t="shared" si="23"/>
        <v>0.05414364641</v>
      </c>
      <c r="L47" s="1">
        <f t="shared" si="24"/>
        <v>0.06458247635</v>
      </c>
      <c r="M47" s="1">
        <f t="shared" si="25"/>
        <v>0.05339992317</v>
      </c>
      <c r="N47" s="1">
        <f t="shared" si="26"/>
        <v>0.003522504892</v>
      </c>
    </row>
    <row r="48" ht="12.75" customHeight="1">
      <c r="C48" s="1">
        <f t="shared" si="15"/>
        <v>0.01204819277</v>
      </c>
      <c r="D48" s="1">
        <f t="shared" si="16"/>
        <v>0.03280586646</v>
      </c>
      <c r="E48" s="1">
        <f t="shared" si="17"/>
        <v>0.04220907298</v>
      </c>
      <c r="F48" s="1">
        <f t="shared" si="18"/>
        <v>0.04670011579</v>
      </c>
      <c r="G48" s="1">
        <f t="shared" si="19"/>
        <v>0.04791107704</v>
      </c>
      <c r="H48" s="1">
        <f t="shared" si="20"/>
        <v>0.0466849745</v>
      </c>
      <c r="I48" s="1">
        <f t="shared" si="21"/>
        <v>0.04503163379</v>
      </c>
      <c r="J48" s="1">
        <f t="shared" si="22"/>
        <v>0.04239178938</v>
      </c>
      <c r="K48" s="1">
        <f t="shared" si="23"/>
        <v>0.03425414365</v>
      </c>
      <c r="L48" s="1">
        <f t="shared" si="24"/>
        <v>0.04236939531</v>
      </c>
      <c r="M48" s="1">
        <f t="shared" si="25"/>
        <v>0.003457548982</v>
      </c>
      <c r="N48" s="1">
        <f t="shared" si="26"/>
        <v>0.002739726027</v>
      </c>
    </row>
    <row r="49" ht="12.75" customHeight="1"/>
    <row r="50" ht="12.75" customHeight="1"/>
    <row r="51" ht="12.75" customHeight="1">
      <c r="C51" s="23">
        <v>1.0</v>
      </c>
      <c r="D51" s="23">
        <v>1.0</v>
      </c>
      <c r="E51" s="23">
        <v>1.0</v>
      </c>
      <c r="F51" s="23">
        <v>1.0</v>
      </c>
      <c r="G51" s="23">
        <v>1.0</v>
      </c>
      <c r="H51" s="23">
        <v>1.0</v>
      </c>
      <c r="I51" s="23">
        <v>1.0</v>
      </c>
      <c r="J51" s="23">
        <v>1.0</v>
      </c>
      <c r="K51" s="23">
        <v>1.0</v>
      </c>
      <c r="L51" s="23">
        <v>1.0</v>
      </c>
      <c r="M51" s="23">
        <v>1.0</v>
      </c>
      <c r="N51" s="23">
        <v>1.0</v>
      </c>
    </row>
    <row r="52" ht="12.75" customHeight="1">
      <c r="C52" s="23">
        <v>0.9820772916796315</v>
      </c>
      <c r="D52" s="23">
        <v>1.0093992890281376</v>
      </c>
      <c r="E52" s="23">
        <v>1.0137473620741635</v>
      </c>
      <c r="F52" s="23">
        <v>1.0093586897834304</v>
      </c>
      <c r="G52" s="23">
        <v>1.0369253492522617</v>
      </c>
      <c r="H52" s="23">
        <v>1.0314538250533374</v>
      </c>
      <c r="I52" s="23">
        <v>1.017215613605117</v>
      </c>
      <c r="J52" s="23">
        <v>0.9544706135013244</v>
      </c>
      <c r="K52" s="23">
        <v>1.0657554953706618</v>
      </c>
      <c r="L52" s="23">
        <v>1.0431842154247069</v>
      </c>
      <c r="M52" s="23">
        <v>1.0636805862657148</v>
      </c>
      <c r="N52" s="23">
        <v>1.028481621656296</v>
      </c>
    </row>
    <row r="53" ht="12.75" customHeight="1">
      <c r="C53" s="23">
        <v>0.9723691580060986</v>
      </c>
      <c r="D53" s="23">
        <v>1.0122913779598721</v>
      </c>
      <c r="E53" s="23">
        <v>1.0050648176062709</v>
      </c>
      <c r="F53" s="23">
        <v>1.0</v>
      </c>
      <c r="G53" s="23">
        <v>1.0339713213120807</v>
      </c>
      <c r="H53" s="23">
        <v>1.0146296860713198</v>
      </c>
      <c r="I53" s="23">
        <v>1.0</v>
      </c>
      <c r="J53" s="23">
        <v>0.29816021189777364</v>
      </c>
      <c r="K53" s="23">
        <v>1.0506392895383259</v>
      </c>
      <c r="L53" s="23">
        <v>1.0387168827945648</v>
      </c>
      <c r="M53" s="23">
        <v>1.049276644134184</v>
      </c>
      <c r="N53" s="23">
        <v>1.011546603374174</v>
      </c>
    </row>
    <row r="54" ht="12.75" customHeight="1">
      <c r="C54" s="23">
        <v>0.7826871616155329</v>
      </c>
      <c r="D54" s="23">
        <v>0.986985599807194</v>
      </c>
      <c r="E54" s="23">
        <v>0.9413928248417245</v>
      </c>
      <c r="F54" s="23">
        <v>0.5299058131861539</v>
      </c>
      <c r="G54" s="23">
        <v>0.9734137485383716</v>
      </c>
      <c r="H54" s="23">
        <v>0.9612313319110026</v>
      </c>
      <c r="I54" s="23">
        <v>0.26833642178253336</v>
      </c>
      <c r="J54" s="23">
        <v>0.08511704488510274</v>
      </c>
      <c r="K54" s="23">
        <v>0.7006991245197455</v>
      </c>
      <c r="L54" s="23">
        <v>0.5473102934789352</v>
      </c>
      <c r="M54" s="23">
        <v>0.7483100638069365</v>
      </c>
      <c r="N54" s="23">
        <v>0.8060170633138751</v>
      </c>
    </row>
    <row r="55" ht="12.75" customHeight="1">
      <c r="C55" s="23">
        <v>0.03366730972680318</v>
      </c>
      <c r="D55" s="23">
        <v>0.09766825329878895</v>
      </c>
      <c r="E55" s="23">
        <v>0.0912270123605668</v>
      </c>
      <c r="F55" s="23">
        <v>0.07564940908272844</v>
      </c>
      <c r="G55" s="23">
        <v>0.08794387346913657</v>
      </c>
      <c r="H55" s="23">
        <v>0.09369094788174338</v>
      </c>
      <c r="I55" s="23">
        <v>0.08039930659334091</v>
      </c>
      <c r="J55" s="23">
        <v>0.07652659460233376</v>
      </c>
      <c r="K55" s="23">
        <v>0.08093468539396613</v>
      </c>
      <c r="L55" s="23">
        <v>0.08047403362908732</v>
      </c>
      <c r="M55" s="23">
        <v>0.07511529471223705</v>
      </c>
      <c r="N55" s="23">
        <v>0.018538713195201752</v>
      </c>
    </row>
    <row r="56" ht="12.75" customHeight="1">
      <c r="C56" s="23">
        <v>0.010517144812993975</v>
      </c>
      <c r="D56" s="23">
        <v>0.07236247514611076</v>
      </c>
      <c r="E56" s="23">
        <v>0.0702441965631595</v>
      </c>
      <c r="F56" s="23">
        <v>0.0662907192992981</v>
      </c>
      <c r="G56" s="23">
        <v>0.07095821281309621</v>
      </c>
      <c r="H56" s="23">
        <v>0.06882048156049986</v>
      </c>
      <c r="I56" s="23">
        <v>0.06246637575467751</v>
      </c>
      <c r="J56" s="23">
        <v>0.07566754957405684</v>
      </c>
      <c r="K56" s="23">
        <v>0.08471373685205014</v>
      </c>
      <c r="L56" s="23">
        <v>0.06260470310851896</v>
      </c>
      <c r="M56" s="23">
        <v>0.0607113525807063</v>
      </c>
      <c r="N56" s="23">
        <v>0.02392712810314967</v>
      </c>
    </row>
    <row r="57" ht="12.75" customHeight="1">
      <c r="C57" s="23">
        <v>0.015744601406434768</v>
      </c>
      <c r="D57" s="23">
        <v>0.03765740796529494</v>
      </c>
      <c r="E57" s="23">
        <v>0.04998492613807659</v>
      </c>
      <c r="F57" s="23">
        <v>0.04325394444777732</v>
      </c>
      <c r="G57" s="23">
        <v>0.042156440396332095</v>
      </c>
      <c r="H57" s="23">
        <v>0.010301737275220981</v>
      </c>
      <c r="I57" s="23">
        <v>0.020861976208978433</v>
      </c>
      <c r="J57" s="23">
        <v>0.033574343188488814</v>
      </c>
      <c r="K57" s="23">
        <v>0.04919065314606035</v>
      </c>
      <c r="L57" s="23">
        <v>0.00229571260160081</v>
      </c>
      <c r="M57" s="23">
        <v>0.05009792153642051</v>
      </c>
      <c r="N57" s="23">
        <v>0.04240169350182822</v>
      </c>
    </row>
    <row r="58" ht="12.75" customHeight="1"/>
    <row r="59" ht="12.75" customHeight="1"/>
    <row r="60" ht="12.75" customHeight="1">
      <c r="C60" s="23">
        <v>1.0</v>
      </c>
      <c r="D60" s="23">
        <v>1.0</v>
      </c>
      <c r="E60" s="23">
        <v>1.0</v>
      </c>
      <c r="F60" s="23">
        <v>1.0</v>
      </c>
      <c r="G60" s="23">
        <v>1.0</v>
      </c>
      <c r="H60" s="23">
        <v>1.0</v>
      </c>
      <c r="I60" s="23">
        <v>1.0</v>
      </c>
      <c r="J60" s="23">
        <v>1.0</v>
      </c>
      <c r="K60" s="23">
        <v>1.0</v>
      </c>
      <c r="L60" s="23">
        <v>1.0</v>
      </c>
      <c r="M60" s="23">
        <v>1.0</v>
      </c>
      <c r="N60" s="23">
        <v>1.0</v>
      </c>
    </row>
    <row r="61" ht="12.75" customHeight="1">
      <c r="C61" s="23">
        <v>1.0007681474843169</v>
      </c>
      <c r="D61" s="23">
        <v>1.0268028079132099</v>
      </c>
      <c r="E61" s="23">
        <v>1.0482552860293164</v>
      </c>
      <c r="F61" s="23">
        <v>1.0172435336748717</v>
      </c>
      <c r="G61" s="23">
        <v>1.0179126757059336</v>
      </c>
      <c r="H61" s="23">
        <v>1.049312957493258</v>
      </c>
      <c r="I61" s="23">
        <v>1.0826295959464727</v>
      </c>
      <c r="J61" s="23">
        <v>0.9756281029035654</v>
      </c>
      <c r="K61" s="23">
        <v>1.0191763982790412</v>
      </c>
      <c r="L61" s="23">
        <v>1.1394581213038097</v>
      </c>
      <c r="M61" s="23">
        <v>1.043182110268603</v>
      </c>
      <c r="N61" s="23">
        <v>1.0269265290421847</v>
      </c>
    </row>
    <row r="62" ht="12.75" customHeight="1">
      <c r="C62" s="23">
        <v>0.9861733452822942</v>
      </c>
      <c r="D62" s="23">
        <v>1.0268028079132099</v>
      </c>
      <c r="E62" s="23">
        <v>1.031910753664548</v>
      </c>
      <c r="F62" s="23">
        <v>0.9940022491565663</v>
      </c>
      <c r="G62" s="23">
        <v>0.9947754695857692</v>
      </c>
      <c r="H62" s="23">
        <v>1.0323616283549506</v>
      </c>
      <c r="I62" s="23">
        <v>1.0327400285825648</v>
      </c>
      <c r="J62" s="23">
        <v>0.18940875582969757</v>
      </c>
      <c r="K62" s="23">
        <v>0.9800860479409956</v>
      </c>
      <c r="L62" s="23">
        <v>1.1006739100536378</v>
      </c>
      <c r="M62" s="23">
        <v>1.0084822002313327</v>
      </c>
      <c r="N62" s="23">
        <v>1.0007693294012052</v>
      </c>
    </row>
    <row r="63" ht="12.75" customHeight="1">
      <c r="C63" s="23">
        <v>0.8125720138266548</v>
      </c>
      <c r="D63" s="23">
        <v>1.006126356094448</v>
      </c>
      <c r="E63" s="23">
        <v>0.9820988455052536</v>
      </c>
      <c r="F63" s="23">
        <v>0.4819442708984131</v>
      </c>
      <c r="G63" s="23">
        <v>0.9387983580047269</v>
      </c>
      <c r="H63" s="23">
        <v>0.9768845511750353</v>
      </c>
      <c r="I63" s="23">
        <v>0.15889307522411328</v>
      </c>
      <c r="J63" s="23">
        <v>0.036858733263126234</v>
      </c>
      <c r="K63" s="23">
        <v>0.6459741856177013</v>
      </c>
      <c r="L63" s="23">
        <v>0.5510933846788613</v>
      </c>
      <c r="M63" s="23">
        <v>0.6691941909780235</v>
      </c>
      <c r="N63" s="23">
        <v>0.7176561097576613</v>
      </c>
    </row>
    <row r="64" ht="12.75" customHeight="1">
      <c r="C64" s="23">
        <v>0.02214825246447318</v>
      </c>
      <c r="D64" s="23">
        <v>0.039693682195277594</v>
      </c>
      <c r="E64" s="23">
        <v>0.03645090154365027</v>
      </c>
      <c r="F64" s="23">
        <v>0.03286267649631389</v>
      </c>
      <c r="G64" s="23">
        <v>0.049135464610026124</v>
      </c>
      <c r="H64" s="23">
        <v>0.043790933607294205</v>
      </c>
      <c r="I64" s="23">
        <v>0.04040535273483175</v>
      </c>
      <c r="J64" s="23">
        <v>0.02783210470889123</v>
      </c>
      <c r="K64" s="23">
        <v>0.03232944068838354</v>
      </c>
      <c r="L64" s="23">
        <v>0.02874432677760969</v>
      </c>
      <c r="M64" s="23">
        <v>0.021462536948978282</v>
      </c>
      <c r="N64" s="23">
        <v>0.00987306064880113</v>
      </c>
    </row>
    <row r="65" ht="12.75" customHeight="1">
      <c r="C65" s="23">
        <v>0.006785302778133401</v>
      </c>
      <c r="D65" s="23">
        <v>0.02284620293554563</v>
      </c>
      <c r="E65" s="23">
        <v>0.023219613438837727</v>
      </c>
      <c r="F65" s="23">
        <v>0.0231163313757341</v>
      </c>
      <c r="G65" s="23">
        <v>0.020027366587884066</v>
      </c>
      <c r="H65" s="23">
        <v>0.022987029664825992</v>
      </c>
      <c r="I65" s="23">
        <v>0.0248148629336105</v>
      </c>
      <c r="J65" s="23">
        <v>0.017902813299232743</v>
      </c>
      <c r="K65" s="23">
        <v>0.00799016594960049</v>
      </c>
      <c r="L65" s="23">
        <v>0.015541191032870313</v>
      </c>
      <c r="M65" s="23">
        <v>0.00989590026988819</v>
      </c>
      <c r="N65" s="23">
        <v>0.001410437235543023</v>
      </c>
    </row>
    <row r="66" ht="12.75" customHeight="1">
      <c r="C66" s="23">
        <v>0.013698630136986306</v>
      </c>
      <c r="D66" s="23">
        <v>0.027440970006381626</v>
      </c>
      <c r="E66" s="23">
        <v>0.009988325334025168</v>
      </c>
      <c r="F66" s="23">
        <v>0.00512307884543296</v>
      </c>
      <c r="G66" s="23">
        <v>0.008085582783928348</v>
      </c>
      <c r="H66" s="23">
        <v>0.004494670604854252</v>
      </c>
      <c r="I66" s="23">
        <v>0.013121995582694562</v>
      </c>
      <c r="J66" s="23">
        <v>0.005265533323303755</v>
      </c>
      <c r="K66" s="23">
        <v>0.0020897357098955184</v>
      </c>
      <c r="L66" s="23">
        <v>0.0015128593040847254</v>
      </c>
      <c r="M66" s="23">
        <v>6.425909266161204E-4</v>
      </c>
      <c r="N66" s="23">
        <v>0.004487754840364157</v>
      </c>
    </row>
    <row r="67" ht="12.75" customHeight="1"/>
    <row r="68" ht="12.75" customHeight="1"/>
    <row r="69" ht="12.75" customHeight="1">
      <c r="C69" s="1">
        <f t="shared" ref="C69:N69" si="27">AVERAGE(C42,C51,C60)</f>
        <v>1</v>
      </c>
      <c r="D69" s="1">
        <f t="shared" si="27"/>
        <v>1</v>
      </c>
      <c r="E69" s="1">
        <f t="shared" si="27"/>
        <v>1</v>
      </c>
      <c r="F69" s="1">
        <f t="shared" si="27"/>
        <v>1</v>
      </c>
      <c r="G69" s="1">
        <f t="shared" si="27"/>
        <v>1</v>
      </c>
      <c r="H69" s="1">
        <f t="shared" si="27"/>
        <v>1</v>
      </c>
      <c r="I69" s="1">
        <f t="shared" si="27"/>
        <v>1</v>
      </c>
      <c r="J69" s="1">
        <f t="shared" si="27"/>
        <v>1</v>
      </c>
      <c r="K69" s="1">
        <f t="shared" si="27"/>
        <v>1</v>
      </c>
      <c r="L69" s="1">
        <f t="shared" si="27"/>
        <v>1</v>
      </c>
      <c r="M69" s="1">
        <f t="shared" si="27"/>
        <v>1</v>
      </c>
      <c r="N69" s="1">
        <f t="shared" si="27"/>
        <v>1</v>
      </c>
    </row>
    <row r="70" ht="12.75" customHeight="1">
      <c r="C70" s="1">
        <f t="shared" ref="C70:N70" si="28">AVERAGE(C43,C52,C61)</f>
        <v>1.002313942</v>
      </c>
      <c r="D70" s="1">
        <f t="shared" si="28"/>
        <v>1.031107633</v>
      </c>
      <c r="E70" s="1">
        <f t="shared" si="28"/>
        <v>1.049595886</v>
      </c>
      <c r="F70" s="1">
        <f t="shared" si="28"/>
        <v>1.029451481</v>
      </c>
      <c r="G70" s="1">
        <f t="shared" si="28"/>
        <v>1.03821035</v>
      </c>
      <c r="H70" s="1">
        <f t="shared" si="28"/>
        <v>1.057522496</v>
      </c>
      <c r="I70" s="1">
        <f t="shared" si="28"/>
        <v>1.049656876</v>
      </c>
      <c r="J70" s="1">
        <f t="shared" si="28"/>
        <v>0.9683699574</v>
      </c>
      <c r="K70" s="1">
        <f t="shared" si="28"/>
        <v>1.039851454</v>
      </c>
      <c r="L70" s="1">
        <f t="shared" si="28"/>
        <v>1.106129648</v>
      </c>
      <c r="M70" s="1">
        <f t="shared" si="28"/>
        <v>1.058415111</v>
      </c>
      <c r="N70" s="1">
        <f t="shared" si="28"/>
        <v>1.033342182</v>
      </c>
    </row>
    <row r="71" ht="12.75" customHeight="1">
      <c r="C71" s="1">
        <f t="shared" ref="C71:N71" si="29">AVERAGE(C44,C53,C62)</f>
        <v>0.987476339</v>
      </c>
      <c r="D71" s="1">
        <f t="shared" si="29"/>
        <v>1.027697547</v>
      </c>
      <c r="E71" s="1">
        <f t="shared" si="29"/>
        <v>1.03388995</v>
      </c>
      <c r="F71" s="1">
        <f t="shared" si="29"/>
        <v>1.011637698</v>
      </c>
      <c r="G71" s="1">
        <f t="shared" si="29"/>
        <v>1.023125128</v>
      </c>
      <c r="H71" s="1">
        <f t="shared" si="29"/>
        <v>1.039987036</v>
      </c>
      <c r="I71" s="1">
        <f t="shared" si="29"/>
        <v>1.016123615</v>
      </c>
      <c r="J71" s="1">
        <f t="shared" si="29"/>
        <v>0.2346634027</v>
      </c>
      <c r="K71" s="1">
        <f t="shared" si="29"/>
        <v>1.010978427</v>
      </c>
      <c r="L71" s="1">
        <f t="shared" si="29"/>
        <v>1.088695875</v>
      </c>
      <c r="M71" s="1">
        <f t="shared" si="29"/>
        <v>1.034619832</v>
      </c>
      <c r="N71" s="1">
        <f t="shared" si="29"/>
        <v>1.009584763</v>
      </c>
    </row>
    <row r="72" ht="12.75" customHeight="1">
      <c r="C72" s="1">
        <f t="shared" ref="C72:N72" si="30">AVERAGE(C45,C54,C63)</f>
        <v>0.8264803548</v>
      </c>
      <c r="D72" s="1">
        <f t="shared" si="30"/>
        <v>1.007738721</v>
      </c>
      <c r="E72" s="1">
        <f t="shared" si="30"/>
        <v>0.9810718454</v>
      </c>
      <c r="F72" s="1">
        <f t="shared" si="30"/>
        <v>0.6178700074</v>
      </c>
      <c r="G72" s="1">
        <f t="shared" si="30"/>
        <v>0.9763589352</v>
      </c>
      <c r="H72" s="1">
        <f t="shared" si="30"/>
        <v>0.9953259299</v>
      </c>
      <c r="I72" s="1">
        <f t="shared" si="30"/>
        <v>0.2291236396</v>
      </c>
      <c r="J72" s="1">
        <f t="shared" si="30"/>
        <v>0.06133388648</v>
      </c>
      <c r="K72" s="1">
        <f t="shared" si="30"/>
        <v>0.7188726872</v>
      </c>
      <c r="L72" s="1">
        <f t="shared" si="30"/>
        <v>0.5738680024</v>
      </c>
      <c r="M72" s="1">
        <f t="shared" si="30"/>
        <v>0.7640880491</v>
      </c>
      <c r="N72" s="1">
        <f t="shared" si="30"/>
        <v>0.8078258261</v>
      </c>
    </row>
    <row r="73" ht="12.75" customHeight="1">
      <c r="C73" s="1">
        <f t="shared" ref="C73:N73" si="31">AVERAGE(C46,C55,C64)</f>
        <v>0.02417585717</v>
      </c>
      <c r="D73" s="1">
        <f t="shared" si="31"/>
        <v>0.07473366459</v>
      </c>
      <c r="E73" s="1">
        <f t="shared" si="31"/>
        <v>0.06820033028</v>
      </c>
      <c r="F73" s="1">
        <f t="shared" si="31"/>
        <v>0.06151483516</v>
      </c>
      <c r="G73" s="1">
        <f t="shared" si="31"/>
        <v>0.07137344999</v>
      </c>
      <c r="H73" s="1">
        <f t="shared" si="31"/>
        <v>0.07211211141</v>
      </c>
      <c r="I73" s="1">
        <f t="shared" si="31"/>
        <v>0.05875227883</v>
      </c>
      <c r="J73" s="1">
        <f t="shared" si="31"/>
        <v>0.05456906815</v>
      </c>
      <c r="K73" s="1">
        <f t="shared" si="31"/>
        <v>0.05874918383</v>
      </c>
      <c r="L73" s="1">
        <f t="shared" si="31"/>
        <v>0.07027421283</v>
      </c>
      <c r="M73" s="1">
        <f t="shared" si="31"/>
        <v>0.05434653551</v>
      </c>
      <c r="N73" s="1">
        <f t="shared" si="31"/>
        <v>0.01560235906</v>
      </c>
    </row>
    <row r="74" ht="12.75" customHeight="1">
      <c r="C74" s="1">
        <f t="shared" ref="C74:N74" si="32">AVERAGE(C47,C56,C65)</f>
        <v>0.008747143108</v>
      </c>
      <c r="D74" s="1">
        <f t="shared" si="32"/>
        <v>0.05039054225</v>
      </c>
      <c r="E74" s="1">
        <f t="shared" si="32"/>
        <v>0.05153593141</v>
      </c>
      <c r="F74" s="1">
        <f t="shared" si="32"/>
        <v>0.04897126827</v>
      </c>
      <c r="G74" s="1">
        <f t="shared" si="32"/>
        <v>0.04936519441</v>
      </c>
      <c r="H74" s="1">
        <f t="shared" si="32"/>
        <v>0.05165651185</v>
      </c>
      <c r="I74" s="1">
        <f t="shared" si="32"/>
        <v>0.04683348075</v>
      </c>
      <c r="J74" s="1">
        <f t="shared" si="32"/>
        <v>0.05335284593</v>
      </c>
      <c r="K74" s="1">
        <f t="shared" si="32"/>
        <v>0.04894918307</v>
      </c>
      <c r="L74" s="1">
        <f t="shared" si="32"/>
        <v>0.0475761235</v>
      </c>
      <c r="M74" s="1">
        <f t="shared" si="32"/>
        <v>0.04133572534</v>
      </c>
      <c r="N74" s="1">
        <f t="shared" si="32"/>
        <v>0.00962002341</v>
      </c>
    </row>
    <row r="75" ht="12.75" customHeight="1">
      <c r="C75" s="1">
        <f t="shared" ref="C75:N75" si="33">AVERAGE(C48,C57,C66)</f>
        <v>0.01383047477</v>
      </c>
      <c r="D75" s="1">
        <f t="shared" si="33"/>
        <v>0.03263474814</v>
      </c>
      <c r="E75" s="1">
        <f t="shared" si="33"/>
        <v>0.03406077482</v>
      </c>
      <c r="F75" s="1">
        <f t="shared" si="33"/>
        <v>0.03169237969</v>
      </c>
      <c r="G75" s="1">
        <f t="shared" si="33"/>
        <v>0.03271770007</v>
      </c>
      <c r="H75" s="1">
        <f t="shared" si="33"/>
        <v>0.02049379413</v>
      </c>
      <c r="I75" s="1">
        <f t="shared" si="33"/>
        <v>0.02633853519</v>
      </c>
      <c r="J75" s="1">
        <f t="shared" si="33"/>
        <v>0.02707722196</v>
      </c>
      <c r="K75" s="1">
        <f t="shared" si="33"/>
        <v>0.02851151083</v>
      </c>
      <c r="L75" s="1">
        <f t="shared" si="33"/>
        <v>0.01539265574</v>
      </c>
      <c r="M75" s="1">
        <f t="shared" si="33"/>
        <v>0.01806602048</v>
      </c>
      <c r="N75" s="1">
        <f t="shared" si="33"/>
        <v>0.01654305812</v>
      </c>
    </row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conditionalFormatting sqref="R35:AC41">
    <cfRule type="colorScale" priority="1">
      <colorScale>
        <cfvo type="formula" val="0"/>
        <cfvo type="formula" val="1"/>
        <color rgb="FF000000"/>
        <color rgb="FF4A86E8"/>
      </colorScale>
    </cfRule>
  </conditionalFormatting>
  <conditionalFormatting sqref="C69:N75">
    <cfRule type="cellIs" dxfId="0" priority="2" operator="greaterThan">
      <formula>0.5</formula>
    </cfRule>
  </conditionalFormatting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12.75"/>
    <col customWidth="1" min="3" max="15" width="9.13"/>
    <col customWidth="1" min="16" max="26" width="8.63"/>
  </cols>
  <sheetData>
    <row r="1" ht="12.75" customHeight="1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ht="12.75" customHeight="1">
      <c r="A2" s="24" t="s">
        <v>0</v>
      </c>
      <c r="B2" s="24" t="s">
        <v>1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ht="12.75" customHeight="1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ht="12.75" customHeight="1">
      <c r="A4" s="24" t="s">
        <v>2</v>
      </c>
      <c r="B4" s="24" t="s">
        <v>3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12.75" customHeight="1">
      <c r="A5" s="24" t="s">
        <v>4</v>
      </c>
      <c r="B5" s="24" t="s">
        <v>5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12.75" customHeight="1">
      <c r="A6" s="24" t="s">
        <v>6</v>
      </c>
      <c r="B6" s="24" t="s">
        <v>57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ht="12.75" customHeight="1">
      <c r="A7" s="24" t="s">
        <v>8</v>
      </c>
      <c r="B7" s="2">
        <v>45925.0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12.75" customHeight="1">
      <c r="A8" s="24" t="s">
        <v>9</v>
      </c>
      <c r="B8" s="3">
        <v>0.6600115740740741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12.75" customHeight="1">
      <c r="A9" s="24" t="s">
        <v>10</v>
      </c>
      <c r="B9" s="24" t="s">
        <v>11</v>
      </c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12.75" customHeight="1">
      <c r="A10" s="24" t="s">
        <v>12</v>
      </c>
      <c r="B10" s="24">
        <v>2.5030902E7</v>
      </c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12.75" customHeight="1">
      <c r="A11" s="24" t="s">
        <v>13</v>
      </c>
      <c r="B11" s="24" t="s">
        <v>14</v>
      </c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12.75" customHeight="1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2.75" customHeight="1">
      <c r="A13" s="4" t="s">
        <v>15</v>
      </c>
      <c r="B13" s="5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12.75" customHeight="1">
      <c r="A14" s="24" t="s">
        <v>16</v>
      </c>
      <c r="B14" s="24" t="s">
        <v>17</v>
      </c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12.75" customHeight="1">
      <c r="A15" s="24" t="s">
        <v>18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12.75" customHeight="1">
      <c r="A16" s="24" t="s">
        <v>19</v>
      </c>
      <c r="B16" s="24" t="s">
        <v>20</v>
      </c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ht="12.75" customHeight="1">
      <c r="A17" s="24"/>
      <c r="B17" s="24" t="s">
        <v>21</v>
      </c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12.75" customHeight="1">
      <c r="A18" s="24"/>
      <c r="B18" s="24" t="s">
        <v>22</v>
      </c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ht="12.75" customHeight="1">
      <c r="A19" s="24"/>
      <c r="B19" s="24" t="s">
        <v>23</v>
      </c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12.75" customHeight="1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12.75" customHeight="1">
      <c r="A21" s="4" t="s">
        <v>24</v>
      </c>
      <c r="B21" s="5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12.75" customHeight="1">
      <c r="A22" s="24" t="s">
        <v>25</v>
      </c>
      <c r="B22" s="24">
        <v>26.2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12.7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12.75" customHeight="1">
      <c r="A24" s="24"/>
      <c r="B24" s="7"/>
      <c r="C24" s="9">
        <v>1.0</v>
      </c>
      <c r="D24" s="9">
        <v>2.0</v>
      </c>
      <c r="E24" s="9">
        <v>3.0</v>
      </c>
      <c r="F24" s="9">
        <v>4.0</v>
      </c>
      <c r="G24" s="9">
        <v>5.0</v>
      </c>
      <c r="H24" s="9">
        <v>6.0</v>
      </c>
      <c r="I24" s="9">
        <v>7.0</v>
      </c>
      <c r="J24" s="9">
        <v>8.0</v>
      </c>
      <c r="K24" s="9">
        <v>9.0</v>
      </c>
      <c r="L24" s="9">
        <v>10.0</v>
      </c>
      <c r="M24" s="9">
        <v>11.0</v>
      </c>
      <c r="N24" s="9">
        <v>12.0</v>
      </c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12.75" customHeight="1">
      <c r="A25" s="24"/>
      <c r="B25" s="9" t="s">
        <v>41</v>
      </c>
      <c r="C25" s="10">
        <v>0.095</v>
      </c>
      <c r="D25" s="10">
        <v>0.093</v>
      </c>
      <c r="E25" s="10">
        <v>0.093</v>
      </c>
      <c r="F25" s="10">
        <v>0.096</v>
      </c>
      <c r="G25" s="10">
        <v>0.094</v>
      </c>
      <c r="H25" s="10">
        <v>0.094</v>
      </c>
      <c r="I25" s="10">
        <v>0.094</v>
      </c>
      <c r="J25" s="10">
        <v>0.094</v>
      </c>
      <c r="K25" s="10">
        <v>0.092</v>
      </c>
      <c r="L25" s="10">
        <v>0.095</v>
      </c>
      <c r="M25" s="10">
        <v>0.094</v>
      </c>
      <c r="N25" s="10">
        <v>0.093</v>
      </c>
      <c r="O25" s="11">
        <v>600.0</v>
      </c>
      <c r="P25" s="24">
        <f>AVERAGE(C25:N25)</f>
        <v>0.09391666667</v>
      </c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12.75" customHeight="1">
      <c r="A26" s="24"/>
      <c r="B26" s="9" t="s">
        <v>42</v>
      </c>
      <c r="C26" s="13">
        <v>1.433</v>
      </c>
      <c r="D26" s="13">
        <v>1.477</v>
      </c>
      <c r="E26" s="13">
        <v>1.476</v>
      </c>
      <c r="F26" s="13">
        <v>1.483</v>
      </c>
      <c r="G26" s="13">
        <v>1.448</v>
      </c>
      <c r="H26" s="13">
        <v>1.461</v>
      </c>
      <c r="I26" s="13">
        <v>1.488</v>
      </c>
      <c r="J26" s="14">
        <v>1.258</v>
      </c>
      <c r="K26" s="13">
        <v>1.417</v>
      </c>
      <c r="L26" s="13">
        <v>1.437</v>
      </c>
      <c r="M26" s="13">
        <v>1.413</v>
      </c>
      <c r="N26" s="12">
        <v>1.393</v>
      </c>
      <c r="O26" s="11">
        <v>600.0</v>
      </c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12.75" customHeight="1">
      <c r="A27" s="24"/>
      <c r="B27" s="9" t="s">
        <v>43</v>
      </c>
      <c r="C27" s="12">
        <v>1.409</v>
      </c>
      <c r="D27" s="13">
        <v>1.49</v>
      </c>
      <c r="E27" s="13">
        <v>1.495</v>
      </c>
      <c r="F27" s="13">
        <v>1.496</v>
      </c>
      <c r="G27" s="13">
        <v>1.498</v>
      </c>
      <c r="H27" s="13">
        <v>1.504</v>
      </c>
      <c r="I27" s="13">
        <v>1.512</v>
      </c>
      <c r="J27" s="15">
        <v>1.205</v>
      </c>
      <c r="K27" s="13">
        <v>1.504</v>
      </c>
      <c r="L27" s="13">
        <v>1.495</v>
      </c>
      <c r="M27" s="13">
        <v>1.497</v>
      </c>
      <c r="N27" s="13">
        <v>1.43</v>
      </c>
      <c r="O27" s="11">
        <v>600.0</v>
      </c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12.75" customHeight="1">
      <c r="A28" s="24"/>
      <c r="B28" s="9" t="s">
        <v>44</v>
      </c>
      <c r="C28" s="12">
        <v>1.396</v>
      </c>
      <c r="D28" s="13">
        <v>1.494</v>
      </c>
      <c r="E28" s="13">
        <v>1.483</v>
      </c>
      <c r="F28" s="13">
        <v>1.483</v>
      </c>
      <c r="G28" s="13">
        <v>1.494</v>
      </c>
      <c r="H28" s="13">
        <v>1.481</v>
      </c>
      <c r="I28" s="13">
        <v>1.488</v>
      </c>
      <c r="J28" s="17">
        <v>0.441</v>
      </c>
      <c r="K28" s="13">
        <v>1.484</v>
      </c>
      <c r="L28" s="13">
        <v>1.489</v>
      </c>
      <c r="M28" s="13">
        <v>1.478</v>
      </c>
      <c r="N28" s="12">
        <v>1.408</v>
      </c>
      <c r="O28" s="11">
        <v>600.0</v>
      </c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12.75" customHeight="1">
      <c r="A29" s="24"/>
      <c r="B29" s="9" t="s">
        <v>45</v>
      </c>
      <c r="C29" s="15">
        <v>1.142</v>
      </c>
      <c r="D29" s="13">
        <v>1.459</v>
      </c>
      <c r="E29" s="12">
        <v>1.395</v>
      </c>
      <c r="F29" s="18">
        <v>0.83</v>
      </c>
      <c r="G29" s="13">
        <v>1.412</v>
      </c>
      <c r="H29" s="12">
        <v>1.408</v>
      </c>
      <c r="I29" s="17">
        <v>0.468</v>
      </c>
      <c r="J29" s="10">
        <v>0.193</v>
      </c>
      <c r="K29" s="25">
        <v>1.021</v>
      </c>
      <c r="L29" s="18">
        <v>0.829</v>
      </c>
      <c r="M29" s="25">
        <v>1.081</v>
      </c>
      <c r="N29" s="15">
        <v>1.141</v>
      </c>
      <c r="O29" s="11">
        <v>600.0</v>
      </c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12.75" customHeight="1">
      <c r="A30" s="24"/>
      <c r="B30" s="9" t="s">
        <v>46</v>
      </c>
      <c r="C30" s="10">
        <v>0.139</v>
      </c>
      <c r="D30" s="19">
        <v>0.229</v>
      </c>
      <c r="E30" s="19">
        <v>0.22</v>
      </c>
      <c r="F30" s="19">
        <v>0.199</v>
      </c>
      <c r="G30" s="19">
        <v>0.213</v>
      </c>
      <c r="H30" s="19">
        <v>0.222</v>
      </c>
      <c r="I30" s="19">
        <v>0.206</v>
      </c>
      <c r="J30" s="10">
        <v>0.183</v>
      </c>
      <c r="K30" s="19">
        <v>0.201</v>
      </c>
      <c r="L30" s="19">
        <v>0.202</v>
      </c>
      <c r="M30" s="10">
        <v>0.193</v>
      </c>
      <c r="N30" s="10">
        <v>0.118</v>
      </c>
      <c r="O30" s="11">
        <v>600.0</v>
      </c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12.75" customHeight="1">
      <c r="A31" s="24"/>
      <c r="B31" s="9" t="s">
        <v>47</v>
      </c>
      <c r="C31" s="10">
        <v>0.108</v>
      </c>
      <c r="D31" s="19">
        <v>0.194</v>
      </c>
      <c r="E31" s="10">
        <v>0.191</v>
      </c>
      <c r="F31" s="10">
        <v>0.186</v>
      </c>
      <c r="G31" s="10">
        <v>0.19</v>
      </c>
      <c r="H31" s="10">
        <v>0.188</v>
      </c>
      <c r="I31" s="10">
        <v>0.181</v>
      </c>
      <c r="J31" s="10">
        <v>0.182</v>
      </c>
      <c r="K31" s="19">
        <v>0.206</v>
      </c>
      <c r="L31" s="10">
        <v>0.178</v>
      </c>
      <c r="M31" s="10">
        <v>0.174</v>
      </c>
      <c r="N31" s="10">
        <v>0.125</v>
      </c>
      <c r="O31" s="11">
        <v>600.0</v>
      </c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12.75" customHeight="1">
      <c r="A32" s="24"/>
      <c r="B32" s="9" t="s">
        <v>48</v>
      </c>
      <c r="C32" s="10">
        <v>0.115</v>
      </c>
      <c r="D32" s="10">
        <v>0.146</v>
      </c>
      <c r="E32" s="10">
        <v>0.163</v>
      </c>
      <c r="F32" s="10">
        <v>0.154</v>
      </c>
      <c r="G32" s="10">
        <v>0.151</v>
      </c>
      <c r="H32" s="10">
        <v>0.108</v>
      </c>
      <c r="I32" s="10">
        <v>0.123</v>
      </c>
      <c r="J32" s="10">
        <v>0.133</v>
      </c>
      <c r="K32" s="10">
        <v>0.159</v>
      </c>
      <c r="L32" s="10">
        <v>0.097</v>
      </c>
      <c r="M32" s="10">
        <v>0.16</v>
      </c>
      <c r="N32" s="10">
        <v>0.149</v>
      </c>
      <c r="O32" s="11">
        <v>600.0</v>
      </c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12.7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12.75" customHeight="1">
      <c r="A34" s="24"/>
      <c r="B34" s="24"/>
      <c r="C34" s="24">
        <f t="shared" ref="C34:N34" si="1">C26-$P$25</f>
        <v>1.339083333</v>
      </c>
      <c r="D34" s="24">
        <f t="shared" si="1"/>
        <v>1.383083333</v>
      </c>
      <c r="E34" s="24">
        <f t="shared" si="1"/>
        <v>1.382083333</v>
      </c>
      <c r="F34" s="24">
        <f t="shared" si="1"/>
        <v>1.389083333</v>
      </c>
      <c r="G34" s="24">
        <f t="shared" si="1"/>
        <v>1.354083333</v>
      </c>
      <c r="H34" s="24">
        <f t="shared" si="1"/>
        <v>1.367083333</v>
      </c>
      <c r="I34" s="24">
        <f t="shared" si="1"/>
        <v>1.394083333</v>
      </c>
      <c r="J34" s="24">
        <f t="shared" si="1"/>
        <v>1.164083333</v>
      </c>
      <c r="K34" s="24">
        <f t="shared" si="1"/>
        <v>1.323083333</v>
      </c>
      <c r="L34" s="24">
        <f t="shared" si="1"/>
        <v>1.343083333</v>
      </c>
      <c r="M34" s="24">
        <f t="shared" si="1"/>
        <v>1.319083333</v>
      </c>
      <c r="N34" s="24">
        <f t="shared" si="1"/>
        <v>1.299083333</v>
      </c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ht="12.75" customHeight="1">
      <c r="A35" s="24"/>
      <c r="B35" s="24"/>
      <c r="C35" s="24">
        <f t="shared" ref="C35:N35" si="2">C27-$P$25</f>
        <v>1.315083333</v>
      </c>
      <c r="D35" s="24">
        <f t="shared" si="2"/>
        <v>1.396083333</v>
      </c>
      <c r="E35" s="24">
        <f t="shared" si="2"/>
        <v>1.401083333</v>
      </c>
      <c r="F35" s="24">
        <f t="shared" si="2"/>
        <v>1.402083333</v>
      </c>
      <c r="G35" s="24">
        <f t="shared" si="2"/>
        <v>1.404083333</v>
      </c>
      <c r="H35" s="24">
        <f t="shared" si="2"/>
        <v>1.410083333</v>
      </c>
      <c r="I35" s="24">
        <f t="shared" si="2"/>
        <v>1.418083333</v>
      </c>
      <c r="J35" s="24">
        <f t="shared" si="2"/>
        <v>1.111083333</v>
      </c>
      <c r="K35" s="24">
        <f t="shared" si="2"/>
        <v>1.410083333</v>
      </c>
      <c r="L35" s="24">
        <f t="shared" si="2"/>
        <v>1.401083333</v>
      </c>
      <c r="M35" s="24">
        <f t="shared" si="2"/>
        <v>1.403083333</v>
      </c>
      <c r="N35" s="24">
        <f t="shared" si="2"/>
        <v>1.336083333</v>
      </c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12.75" customHeight="1">
      <c r="A36" s="24"/>
      <c r="B36" s="24"/>
      <c r="C36" s="24">
        <f t="shared" ref="C36:N36" si="3">C28-$P$25</f>
        <v>1.302083333</v>
      </c>
      <c r="D36" s="24">
        <f t="shared" si="3"/>
        <v>1.400083333</v>
      </c>
      <c r="E36" s="24">
        <f t="shared" si="3"/>
        <v>1.389083333</v>
      </c>
      <c r="F36" s="24">
        <f t="shared" si="3"/>
        <v>1.389083333</v>
      </c>
      <c r="G36" s="24">
        <f t="shared" si="3"/>
        <v>1.400083333</v>
      </c>
      <c r="H36" s="24">
        <f t="shared" si="3"/>
        <v>1.387083333</v>
      </c>
      <c r="I36" s="24">
        <f t="shared" si="3"/>
        <v>1.394083333</v>
      </c>
      <c r="J36" s="24">
        <f t="shared" si="3"/>
        <v>0.3470833333</v>
      </c>
      <c r="K36" s="24">
        <f t="shared" si="3"/>
        <v>1.390083333</v>
      </c>
      <c r="L36" s="24">
        <f t="shared" si="3"/>
        <v>1.395083333</v>
      </c>
      <c r="M36" s="24">
        <f t="shared" si="3"/>
        <v>1.384083333</v>
      </c>
      <c r="N36" s="24">
        <f t="shared" si="3"/>
        <v>1.314083333</v>
      </c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ht="12.75" customHeight="1">
      <c r="A37" s="24"/>
      <c r="B37" s="24"/>
      <c r="C37" s="24">
        <f t="shared" ref="C37:N37" si="4">C29-$P$25</f>
        <v>1.048083333</v>
      </c>
      <c r="D37" s="24">
        <f t="shared" si="4"/>
        <v>1.365083333</v>
      </c>
      <c r="E37" s="24">
        <f t="shared" si="4"/>
        <v>1.301083333</v>
      </c>
      <c r="F37" s="24">
        <f t="shared" si="4"/>
        <v>0.7360833333</v>
      </c>
      <c r="G37" s="24">
        <f t="shared" si="4"/>
        <v>1.318083333</v>
      </c>
      <c r="H37" s="24">
        <f t="shared" si="4"/>
        <v>1.314083333</v>
      </c>
      <c r="I37" s="24">
        <f t="shared" si="4"/>
        <v>0.3740833333</v>
      </c>
      <c r="J37" s="24">
        <f t="shared" si="4"/>
        <v>0.09908333333</v>
      </c>
      <c r="K37" s="24">
        <f t="shared" si="4"/>
        <v>0.9270833333</v>
      </c>
      <c r="L37" s="24">
        <f t="shared" si="4"/>
        <v>0.7350833333</v>
      </c>
      <c r="M37" s="24">
        <f t="shared" si="4"/>
        <v>0.9870833333</v>
      </c>
      <c r="N37" s="24">
        <f t="shared" si="4"/>
        <v>1.047083333</v>
      </c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ht="12.75" customHeight="1">
      <c r="A38" s="24"/>
      <c r="B38" s="24"/>
      <c r="C38" s="24">
        <f t="shared" ref="C38:N38" si="5">C30-$P$25</f>
        <v>0.04508333333</v>
      </c>
      <c r="D38" s="24">
        <f t="shared" si="5"/>
        <v>0.1350833333</v>
      </c>
      <c r="E38" s="24">
        <f t="shared" si="5"/>
        <v>0.1260833333</v>
      </c>
      <c r="F38" s="24">
        <f t="shared" si="5"/>
        <v>0.1050833333</v>
      </c>
      <c r="G38" s="24">
        <f t="shared" si="5"/>
        <v>0.1190833333</v>
      </c>
      <c r="H38" s="24">
        <f t="shared" si="5"/>
        <v>0.1280833333</v>
      </c>
      <c r="I38" s="24">
        <f t="shared" si="5"/>
        <v>0.1120833333</v>
      </c>
      <c r="J38" s="24">
        <f t="shared" si="5"/>
        <v>0.08908333333</v>
      </c>
      <c r="K38" s="24">
        <f t="shared" si="5"/>
        <v>0.1070833333</v>
      </c>
      <c r="L38" s="24">
        <f t="shared" si="5"/>
        <v>0.1080833333</v>
      </c>
      <c r="M38" s="24">
        <f t="shared" si="5"/>
        <v>0.09908333333</v>
      </c>
      <c r="N38" s="24">
        <f t="shared" si="5"/>
        <v>0.02408333333</v>
      </c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t="12.75" customHeight="1">
      <c r="A39" s="24"/>
      <c r="B39" s="24"/>
      <c r="C39" s="24">
        <f t="shared" ref="C39:N39" si="6">C31-$P$25</f>
        <v>0.01408333333</v>
      </c>
      <c r="D39" s="24">
        <f t="shared" si="6"/>
        <v>0.1000833333</v>
      </c>
      <c r="E39" s="24">
        <f t="shared" si="6"/>
        <v>0.09708333333</v>
      </c>
      <c r="F39" s="24">
        <f t="shared" si="6"/>
        <v>0.09208333333</v>
      </c>
      <c r="G39" s="24">
        <f t="shared" si="6"/>
        <v>0.09608333333</v>
      </c>
      <c r="H39" s="24">
        <f t="shared" si="6"/>
        <v>0.09408333333</v>
      </c>
      <c r="I39" s="24">
        <f t="shared" si="6"/>
        <v>0.08708333333</v>
      </c>
      <c r="J39" s="24">
        <f t="shared" si="6"/>
        <v>0.08808333333</v>
      </c>
      <c r="K39" s="24">
        <f t="shared" si="6"/>
        <v>0.1120833333</v>
      </c>
      <c r="L39" s="24">
        <f t="shared" si="6"/>
        <v>0.08408333333</v>
      </c>
      <c r="M39" s="24">
        <f t="shared" si="6"/>
        <v>0.08008333333</v>
      </c>
      <c r="N39" s="24">
        <f t="shared" si="6"/>
        <v>0.03108333333</v>
      </c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12.75" customHeight="1">
      <c r="A40" s="24"/>
      <c r="B40" s="24"/>
      <c r="C40" s="24">
        <f t="shared" ref="C40:N40" si="7">C32-$P$25</f>
        <v>0.02108333333</v>
      </c>
      <c r="D40" s="24">
        <f t="shared" si="7"/>
        <v>0.05208333333</v>
      </c>
      <c r="E40" s="24">
        <f t="shared" si="7"/>
        <v>0.06908333333</v>
      </c>
      <c r="F40" s="24">
        <f t="shared" si="7"/>
        <v>0.06008333333</v>
      </c>
      <c r="G40" s="24">
        <f t="shared" si="7"/>
        <v>0.05708333333</v>
      </c>
      <c r="H40" s="24">
        <f t="shared" si="7"/>
        <v>0.01408333333</v>
      </c>
      <c r="I40" s="24">
        <f t="shared" si="7"/>
        <v>0.02908333333</v>
      </c>
      <c r="J40" s="24">
        <f t="shared" si="7"/>
        <v>0.03908333333</v>
      </c>
      <c r="K40" s="24">
        <f t="shared" si="7"/>
        <v>0.06508333333</v>
      </c>
      <c r="L40" s="24">
        <f t="shared" si="7"/>
        <v>0.003083333333</v>
      </c>
      <c r="M40" s="24">
        <f t="shared" si="7"/>
        <v>0.06608333333</v>
      </c>
      <c r="N40" s="24">
        <f t="shared" si="7"/>
        <v>0.05508333333</v>
      </c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t="12.7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ht="12.75" customHeight="1">
      <c r="A42" s="24"/>
      <c r="B42" s="24"/>
      <c r="C42" s="24">
        <f t="shared" ref="C42:C48" si="8">C34/$C$34</f>
        <v>1</v>
      </c>
      <c r="D42" s="24">
        <f t="shared" ref="D42:D48" si="9">D34/$D$34</f>
        <v>1</v>
      </c>
      <c r="E42" s="24">
        <f t="shared" ref="E42:E48" si="10">E34/$E$34</f>
        <v>1</v>
      </c>
      <c r="F42" s="24">
        <f t="shared" ref="F42:F48" si="11">F34/$F$34</f>
        <v>1</v>
      </c>
      <c r="G42" s="24">
        <f t="shared" ref="G42:G48" si="12">G34/$G$34</f>
        <v>1</v>
      </c>
      <c r="H42" s="24">
        <f t="shared" ref="H42:H48" si="13">H34/$H$34</f>
        <v>1</v>
      </c>
      <c r="I42" s="24">
        <f t="shared" ref="I42:I48" si="14">I34/$I$34</f>
        <v>1</v>
      </c>
      <c r="J42" s="24">
        <f t="shared" ref="J42:J48" si="15">J34/$J$34</f>
        <v>1</v>
      </c>
      <c r="K42" s="24">
        <f t="shared" ref="K42:K48" si="16">K34/$K$34</f>
        <v>1</v>
      </c>
      <c r="L42" s="24">
        <f t="shared" ref="L42:L48" si="17">L34/$L$34</f>
        <v>1</v>
      </c>
      <c r="M42" s="24">
        <f t="shared" ref="M42:M48" si="18">M34/$M$34</f>
        <v>1</v>
      </c>
      <c r="N42" s="24">
        <f t="shared" ref="N42:N48" si="19">N34/$N$34</f>
        <v>1</v>
      </c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ht="12.75" customHeight="1">
      <c r="A43" s="24"/>
      <c r="B43" s="24"/>
      <c r="C43" s="24">
        <f t="shared" si="8"/>
        <v>0.9820772917</v>
      </c>
      <c r="D43" s="24">
        <f t="shared" si="9"/>
        <v>1.009399289</v>
      </c>
      <c r="E43" s="24">
        <f t="shared" si="10"/>
        <v>1.013747362</v>
      </c>
      <c r="F43" s="24">
        <f t="shared" si="11"/>
        <v>1.00935869</v>
      </c>
      <c r="G43" s="24">
        <f t="shared" si="12"/>
        <v>1.036925349</v>
      </c>
      <c r="H43" s="24">
        <f t="shared" si="13"/>
        <v>1.031453825</v>
      </c>
      <c r="I43" s="24">
        <f t="shared" si="14"/>
        <v>1.017215614</v>
      </c>
      <c r="J43" s="24">
        <f t="shared" si="15"/>
        <v>0.9544706135</v>
      </c>
      <c r="K43" s="24">
        <f t="shared" si="16"/>
        <v>1.065755495</v>
      </c>
      <c r="L43" s="24">
        <f t="shared" si="17"/>
        <v>1.043184215</v>
      </c>
      <c r="M43" s="24">
        <f t="shared" si="18"/>
        <v>1.063680586</v>
      </c>
      <c r="N43" s="24">
        <f t="shared" si="19"/>
        <v>1.028481622</v>
      </c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ht="12.75" customHeight="1">
      <c r="A44" s="24"/>
      <c r="B44" s="24"/>
      <c r="C44" s="24">
        <f t="shared" si="8"/>
        <v>0.972369158</v>
      </c>
      <c r="D44" s="24">
        <f t="shared" si="9"/>
        <v>1.012291378</v>
      </c>
      <c r="E44" s="24">
        <f t="shared" si="10"/>
        <v>1.005064818</v>
      </c>
      <c r="F44" s="24">
        <f t="shared" si="11"/>
        <v>1</v>
      </c>
      <c r="G44" s="24">
        <f t="shared" si="12"/>
        <v>1.033971321</v>
      </c>
      <c r="H44" s="24">
        <f t="shared" si="13"/>
        <v>1.014629686</v>
      </c>
      <c r="I44" s="24">
        <f t="shared" si="14"/>
        <v>1</v>
      </c>
      <c r="J44" s="24">
        <f t="shared" si="15"/>
        <v>0.2981602119</v>
      </c>
      <c r="K44" s="24">
        <f t="shared" si="16"/>
        <v>1.05063929</v>
      </c>
      <c r="L44" s="24">
        <f t="shared" si="17"/>
        <v>1.038716883</v>
      </c>
      <c r="M44" s="24">
        <f t="shared" si="18"/>
        <v>1.049276644</v>
      </c>
      <c r="N44" s="24">
        <f t="shared" si="19"/>
        <v>1.011546603</v>
      </c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ht="12.75" customHeight="1">
      <c r="A45" s="24"/>
      <c r="B45" s="24"/>
      <c r="C45" s="24">
        <f t="shared" si="8"/>
        <v>0.7826871616</v>
      </c>
      <c r="D45" s="24">
        <f t="shared" si="9"/>
        <v>0.9869855998</v>
      </c>
      <c r="E45" s="24">
        <f t="shared" si="10"/>
        <v>0.9413928248</v>
      </c>
      <c r="F45" s="24">
        <f t="shared" si="11"/>
        <v>0.5299058132</v>
      </c>
      <c r="G45" s="24">
        <f t="shared" si="12"/>
        <v>0.9734137485</v>
      </c>
      <c r="H45" s="24">
        <f t="shared" si="13"/>
        <v>0.9612313319</v>
      </c>
      <c r="I45" s="24">
        <f t="shared" si="14"/>
        <v>0.2683364218</v>
      </c>
      <c r="J45" s="24">
        <f t="shared" si="15"/>
        <v>0.08511704489</v>
      </c>
      <c r="K45" s="24">
        <f t="shared" si="16"/>
        <v>0.7006991245</v>
      </c>
      <c r="L45" s="24">
        <f t="shared" si="17"/>
        <v>0.5473102935</v>
      </c>
      <c r="M45" s="24">
        <f t="shared" si="18"/>
        <v>0.7483100638</v>
      </c>
      <c r="N45" s="24">
        <f t="shared" si="19"/>
        <v>0.8060170633</v>
      </c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ht="12.75" customHeight="1">
      <c r="A46" s="24"/>
      <c r="B46" s="24"/>
      <c r="C46" s="24">
        <f t="shared" si="8"/>
        <v>0.03366730973</v>
      </c>
      <c r="D46" s="24">
        <f t="shared" si="9"/>
        <v>0.0976682533</v>
      </c>
      <c r="E46" s="24">
        <f t="shared" si="10"/>
        <v>0.09122701236</v>
      </c>
      <c r="F46" s="24">
        <f t="shared" si="11"/>
        <v>0.07564940908</v>
      </c>
      <c r="G46" s="24">
        <f t="shared" si="12"/>
        <v>0.08794387347</v>
      </c>
      <c r="H46" s="24">
        <f t="shared" si="13"/>
        <v>0.09369094788</v>
      </c>
      <c r="I46" s="24">
        <f t="shared" si="14"/>
        <v>0.08039930659</v>
      </c>
      <c r="J46" s="24">
        <f t="shared" si="15"/>
        <v>0.0765265946</v>
      </c>
      <c r="K46" s="24">
        <f t="shared" si="16"/>
        <v>0.08093468539</v>
      </c>
      <c r="L46" s="24">
        <f t="shared" si="17"/>
        <v>0.08047403363</v>
      </c>
      <c r="M46" s="24">
        <f t="shared" si="18"/>
        <v>0.07511529471</v>
      </c>
      <c r="N46" s="24">
        <f t="shared" si="19"/>
        <v>0.0185387132</v>
      </c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ht="12.75" customHeight="1">
      <c r="A47" s="24"/>
      <c r="B47" s="24"/>
      <c r="C47" s="24">
        <f t="shared" si="8"/>
        <v>0.01051714481</v>
      </c>
      <c r="D47" s="24">
        <f t="shared" si="9"/>
        <v>0.07236247515</v>
      </c>
      <c r="E47" s="24">
        <f t="shared" si="10"/>
        <v>0.07024419656</v>
      </c>
      <c r="F47" s="24">
        <f t="shared" si="11"/>
        <v>0.0662907193</v>
      </c>
      <c r="G47" s="24">
        <f t="shared" si="12"/>
        <v>0.07095821281</v>
      </c>
      <c r="H47" s="24">
        <f t="shared" si="13"/>
        <v>0.06882048156</v>
      </c>
      <c r="I47" s="24">
        <f t="shared" si="14"/>
        <v>0.06246637575</v>
      </c>
      <c r="J47" s="24">
        <f t="shared" si="15"/>
        <v>0.07566754957</v>
      </c>
      <c r="K47" s="24">
        <f t="shared" si="16"/>
        <v>0.08471373685</v>
      </c>
      <c r="L47" s="24">
        <f t="shared" si="17"/>
        <v>0.06260470311</v>
      </c>
      <c r="M47" s="24">
        <f t="shared" si="18"/>
        <v>0.06071135258</v>
      </c>
      <c r="N47" s="24">
        <f t="shared" si="19"/>
        <v>0.0239271281</v>
      </c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ht="12.75" customHeight="1">
      <c r="A48" s="24"/>
      <c r="B48" s="24"/>
      <c r="C48" s="24">
        <f t="shared" si="8"/>
        <v>0.01574460141</v>
      </c>
      <c r="D48" s="24">
        <f t="shared" si="9"/>
        <v>0.03765740797</v>
      </c>
      <c r="E48" s="24">
        <f t="shared" si="10"/>
        <v>0.04998492614</v>
      </c>
      <c r="F48" s="24">
        <f t="shared" si="11"/>
        <v>0.04325394445</v>
      </c>
      <c r="G48" s="24">
        <f t="shared" si="12"/>
        <v>0.0421564404</v>
      </c>
      <c r="H48" s="24">
        <f t="shared" si="13"/>
        <v>0.01030173728</v>
      </c>
      <c r="I48" s="24">
        <f t="shared" si="14"/>
        <v>0.02086197621</v>
      </c>
      <c r="J48" s="24">
        <f t="shared" si="15"/>
        <v>0.03357434319</v>
      </c>
      <c r="K48" s="24">
        <f t="shared" si="16"/>
        <v>0.04919065315</v>
      </c>
      <c r="L48" s="24">
        <f t="shared" si="17"/>
        <v>0.002295712602</v>
      </c>
      <c r="M48" s="24">
        <f t="shared" si="18"/>
        <v>0.05009792154</v>
      </c>
      <c r="N48" s="24">
        <f t="shared" si="19"/>
        <v>0.0424016935</v>
      </c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ht="12.7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ht="12.7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ht="12.7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ht="12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ht="12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ht="12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ht="12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ht="12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ht="12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ht="12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ht="12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t="12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ht="12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ht="12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ht="12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ht="12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ht="12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ht="12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ht="12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ht="12.7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ht="12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ht="12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ht="12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ht="12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ht="12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ht="12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ht="12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ht="12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ht="12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ht="12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ht="12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ht="12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ht="12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ht="12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ht="12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ht="12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ht="12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ht="12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ht="12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ht="12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ht="12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ht="12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ht="12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ht="12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ht="12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ht="12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ht="12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ht="12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ht="12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ht="12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ht="12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ht="12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ht="12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ht="12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ht="12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ht="12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ht="12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ht="12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ht="12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ht="12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ht="12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ht="12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ht="12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ht="12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ht="12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ht="12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ht="12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ht="12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ht="12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ht="12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ht="12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ht="12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ht="12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ht="12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ht="12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ht="12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ht="12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ht="12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ht="12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ht="12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ht="12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ht="12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ht="12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ht="12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ht="12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ht="12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ht="12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ht="12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ht="12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ht="12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ht="12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ht="12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ht="12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ht="12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ht="12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ht="12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ht="12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ht="12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ht="12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ht="12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ht="12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ht="12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ht="12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ht="12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ht="12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ht="12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ht="12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ht="12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ht="12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ht="12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ht="12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ht="12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ht="12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ht="12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ht="12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ht="12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ht="12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ht="12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ht="12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ht="12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ht="12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ht="12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ht="12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ht="12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ht="12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ht="12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ht="12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ht="12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ht="12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ht="12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ht="12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ht="12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ht="12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ht="12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ht="12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ht="12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ht="12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ht="12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ht="12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ht="12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ht="12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ht="12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ht="12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ht="12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ht="12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ht="12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ht="12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ht="12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ht="12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ht="12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ht="12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ht="12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ht="12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ht="12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ht="12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ht="12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ht="12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ht="12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ht="12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ht="12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ht="12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ht="12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ht="12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ht="12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ht="12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ht="12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ht="12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ht="12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ht="12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ht="12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ht="12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ht="12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ht="12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ht="12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ht="12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ht="12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ht="12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ht="12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ht="12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ht="12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ht="12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ht="12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ht="12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ht="12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ht="12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ht="12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ht="12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ht="12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ht="12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ht="12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ht="12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ht="12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ht="12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ht="12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ht="12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ht="12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ht="12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ht="12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ht="12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ht="12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ht="12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ht="12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ht="12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ht="12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ht="12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ht="12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ht="12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ht="12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ht="12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ht="12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ht="12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ht="12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ht="12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ht="12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ht="12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ht="12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ht="12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ht="12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ht="12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ht="12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ht="12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ht="12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ht="12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ht="12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ht="12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ht="12.7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ht="12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ht="12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ht="12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ht="12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ht="12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ht="12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ht="12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ht="12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ht="12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ht="12.7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ht="12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ht="12.7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ht="12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ht="12.7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ht="12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ht="12.7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ht="12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ht="12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ht="12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ht="12.7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ht="12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ht="12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ht="12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ht="12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ht="12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ht="12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ht="12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ht="12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ht="12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ht="12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ht="12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ht="12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ht="12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ht="12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ht="12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ht="12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ht="12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ht="12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ht="12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ht="12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ht="12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ht="12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ht="12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ht="12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ht="12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ht="12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ht="12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ht="12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ht="12.7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ht="12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ht="12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ht="12.7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ht="12.7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ht="12.7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ht="12.7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ht="12.7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ht="12.7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ht="12.7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ht="12.7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ht="12.7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ht="12.7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ht="12.7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ht="12.7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ht="12.7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ht="12.7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ht="12.7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ht="12.7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ht="12.7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ht="12.7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ht="12.7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ht="12.7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ht="12.7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ht="12.7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ht="12.7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ht="12.7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ht="12.7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ht="12.7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ht="12.7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ht="12.7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ht="12.7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ht="12.7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ht="12.7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ht="12.7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ht="12.7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ht="12.7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ht="12.7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ht="12.7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ht="12.7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ht="12.7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ht="12.7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ht="12.7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ht="12.7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ht="12.7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ht="12.7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ht="12.7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ht="12.7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ht="12.7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ht="12.7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ht="12.7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ht="12.7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ht="12.7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ht="12.7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ht="12.7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ht="12.7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ht="12.7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ht="12.7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ht="12.7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ht="12.7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ht="12.7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ht="12.7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ht="12.7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ht="12.7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ht="12.7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ht="12.7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ht="12.7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ht="12.7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ht="12.7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ht="12.7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ht="12.7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ht="12.7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ht="12.7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ht="12.7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ht="12.7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ht="12.7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ht="12.7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ht="12.7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ht="12.7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ht="12.7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ht="12.7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ht="12.7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ht="12.7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ht="12.7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ht="12.7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ht="12.7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ht="12.7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ht="12.7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ht="12.7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ht="12.7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ht="12.7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ht="12.7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ht="12.7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ht="12.7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ht="12.7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ht="12.7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ht="12.7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ht="12.7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ht="12.7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ht="12.7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ht="12.7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ht="12.7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ht="12.7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ht="12.7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ht="12.7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ht="12.7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ht="12.7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ht="12.7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ht="12.7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ht="12.7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ht="12.7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ht="12.7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ht="12.7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ht="12.7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ht="12.7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ht="12.7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ht="12.7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ht="12.7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ht="12.7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ht="12.7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ht="12.7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ht="12.7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ht="12.7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ht="12.7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ht="12.7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ht="12.7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ht="12.7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ht="12.7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ht="12.7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ht="12.7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ht="12.7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ht="12.7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ht="12.7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ht="12.7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ht="12.7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ht="12.7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ht="12.7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ht="12.7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ht="12.7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ht="12.7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ht="12.7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ht="12.7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ht="12.7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ht="12.7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ht="12.7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ht="12.7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ht="12.7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ht="12.7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ht="12.7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ht="12.7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ht="12.7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ht="12.7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ht="12.7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ht="12.7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ht="12.7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ht="12.7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ht="12.7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ht="12.7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ht="12.7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ht="12.7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ht="12.7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ht="12.7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ht="12.7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ht="12.7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ht="12.7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ht="12.7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ht="12.7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ht="12.7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ht="12.7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ht="12.7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ht="12.7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ht="12.7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ht="12.7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ht="12.7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ht="12.7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ht="12.7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ht="12.7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ht="12.7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ht="12.7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ht="12.7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ht="12.7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ht="12.7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ht="12.7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ht="12.7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ht="12.7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ht="12.7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ht="12.7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ht="12.7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ht="12.7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ht="12.7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ht="12.7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ht="12.7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ht="12.7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ht="12.7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ht="12.7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ht="12.7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ht="12.7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ht="12.7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ht="12.7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ht="12.7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ht="12.7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ht="12.7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ht="12.7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ht="12.7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ht="12.7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ht="12.7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ht="12.7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ht="12.7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ht="12.7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ht="12.7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ht="12.7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ht="12.7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ht="12.7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ht="12.7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ht="12.7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ht="12.7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ht="12.7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ht="12.7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ht="12.7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ht="12.7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ht="12.7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ht="12.7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ht="12.7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ht="12.7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ht="12.7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ht="12.7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ht="12.7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ht="12.7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ht="12.7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ht="12.7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ht="12.7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ht="12.7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ht="12.7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ht="12.7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ht="12.7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ht="12.7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ht="12.7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ht="12.7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ht="12.7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ht="12.7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ht="12.7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ht="12.7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ht="12.7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ht="12.7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ht="12.7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ht="12.7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ht="12.7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ht="12.7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ht="12.7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ht="12.7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ht="12.7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ht="12.7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ht="12.7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ht="12.7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ht="12.7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ht="12.7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ht="12.7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ht="12.7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ht="12.7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ht="12.7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ht="12.7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ht="12.7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ht="12.7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ht="12.7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ht="12.7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ht="12.7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ht="12.7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ht="12.7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ht="12.7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ht="12.7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ht="12.7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ht="12.7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ht="12.7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ht="12.7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ht="12.7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ht="12.7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ht="12.7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ht="12.7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ht="12.7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ht="12.7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ht="12.7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ht="12.7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ht="12.7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ht="12.7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ht="12.7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ht="12.7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ht="12.7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ht="12.7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ht="12.7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ht="12.7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ht="12.7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ht="12.7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ht="12.7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ht="12.7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ht="12.7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ht="12.7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ht="12.7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ht="12.7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ht="12.7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ht="12.7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ht="12.7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ht="12.7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ht="12.7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ht="12.7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ht="12.7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ht="12.7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ht="12.7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ht="12.7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ht="12.7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ht="12.7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ht="12.7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ht="12.7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ht="12.7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ht="12.7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ht="12.7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ht="12.7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ht="12.7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ht="12.7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ht="12.7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ht="12.7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ht="12.7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ht="12.7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ht="12.7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ht="12.7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ht="12.7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ht="12.7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ht="12.7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ht="12.7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ht="12.7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ht="12.7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ht="12.7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ht="12.7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ht="12.7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ht="12.7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ht="12.7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ht="12.7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ht="12.7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ht="12.7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ht="12.7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ht="12.7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ht="12.7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ht="12.7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ht="12.7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ht="12.7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ht="12.7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ht="12.7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ht="12.7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ht="12.7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ht="12.7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ht="12.7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ht="12.7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ht="12.7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ht="12.7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ht="12.7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ht="12.7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ht="12.7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ht="12.7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ht="12.7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ht="12.7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ht="12.7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ht="12.7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ht="12.7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ht="12.7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ht="12.7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ht="12.7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ht="12.7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ht="12.7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ht="12.7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ht="12.7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ht="12.7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ht="12.7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ht="12.7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ht="12.7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ht="12.7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ht="12.7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ht="12.7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ht="12.7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ht="12.7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ht="12.7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ht="12.7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ht="12.7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ht="12.7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ht="12.7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ht="12.7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ht="12.7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ht="12.7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ht="12.7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ht="12.7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ht="12.7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ht="12.7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ht="12.7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ht="12.7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ht="12.7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ht="12.7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ht="12.7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ht="12.7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ht="12.7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ht="12.7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ht="12.7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ht="12.7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ht="12.7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ht="12.7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ht="12.7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ht="12.7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ht="12.7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ht="12.7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ht="12.7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ht="12.7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ht="12.7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ht="12.7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ht="12.7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ht="12.7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ht="12.7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ht="12.7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ht="12.7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ht="12.7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ht="12.7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ht="12.7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ht="12.7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ht="12.7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ht="12.7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ht="12.7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ht="12.7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ht="12.7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ht="12.7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ht="12.7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ht="12.7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ht="12.7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ht="12.7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ht="12.7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ht="12.7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ht="12.7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ht="12.7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ht="12.7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ht="12.7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ht="12.7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ht="12.7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ht="12.7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ht="12.7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ht="12.7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ht="12.7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ht="12.7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ht="12.7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ht="12.7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ht="12.7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ht="12.7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ht="12.7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ht="12.7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ht="12.7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ht="12.7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ht="12.7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ht="12.7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ht="12.7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ht="12.7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ht="12.7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ht="12.7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ht="12.7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ht="12.7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ht="12.7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ht="12.7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ht="12.7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ht="12.7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ht="12.7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ht="12.7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ht="12.7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ht="12.7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ht="12.7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ht="12.7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ht="12.7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ht="12.7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ht="12.7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ht="12.7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ht="12.7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ht="12.7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ht="12.7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ht="12.7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ht="12.7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ht="12.7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ht="12.7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ht="12.7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ht="12.7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ht="12.7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ht="12.7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ht="12.7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ht="12.7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ht="12.7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ht="12.7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ht="12.7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ht="12.7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ht="12.7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ht="12.7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ht="12.7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ht="12.7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ht="12.7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ht="12.7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ht="12.7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ht="12.7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ht="12.7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ht="12.7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ht="12.7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ht="12.7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ht="12.7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ht="12.7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ht="12.7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ht="12.7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ht="12.7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ht="12.7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ht="12.7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ht="12.7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ht="12.7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ht="12.7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ht="12.7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ht="12.7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ht="12.7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ht="12.7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ht="12.7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ht="12.7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ht="12.7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ht="12.7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ht="12.7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ht="12.7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ht="12.7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ht="12.7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ht="12.7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ht="12.7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ht="12.7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ht="12.7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ht="12.7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ht="12.7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ht="12.7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ht="12.7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ht="12.7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ht="12.7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ht="12.7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ht="12.7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ht="12.7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ht="12.7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ht="12.7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ht="12.7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ht="12.7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ht="12.7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ht="12.7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ht="12.7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ht="12.7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ht="12.7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ht="12.7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ht="12.7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ht="12.7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ht="12.7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ht="12.7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ht="12.7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ht="12.7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ht="12.7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ht="12.7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ht="12.7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ht="12.7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ht="12.7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ht="12.7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ht="12.7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ht="12.7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ht="12.7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ht="12.7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ht="12.7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ht="12.7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ht="12.7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ht="12.7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ht="12.7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ht="12.7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ht="12.7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ht="12.7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ht="12.7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ht="12.7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ht="12.7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ht="12.7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ht="12.7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ht="12.7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ht="12.7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ht="12.7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ht="12.7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ht="12.7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ht="12.7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ht="12.7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ht="12.7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ht="12.7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ht="12.7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ht="12.7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ht="12.7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ht="12.7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ht="12.7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ht="12.7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ht="12.7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ht="12.7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ht="12.7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ht="12.7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ht="12.7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ht="12.7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ht="12.7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ht="12.7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ht="12.7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ht="12.7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ht="12.7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ht="12.7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ht="12.7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ht="12.7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ht="12.7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ht="12.7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ht="12.7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ht="12.7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ht="12.7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ht="12.7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ht="12.7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ht="12.7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ht="12.7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ht="12.7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ht="12.7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ht="12.7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ht="12.7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ht="12.7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ht="12.7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ht="12.7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ht="12.7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ht="12.7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ht="12.7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ht="12.7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ht="12.7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ht="12.7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ht="12.7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ht="12.7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ht="12.7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ht="12.7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ht="12.7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ht="12.7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ht="12.7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ht="12.7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ht="12.7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ht="12.7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ht="12.7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ht="12.7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ht="12.7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ht="12.7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ht="12.7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ht="12.7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ht="12.7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ht="12.7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ht="12.7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ht="12.7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ht="12.7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ht="12.7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ht="12.7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ht="12.7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ht="12.7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ht="12.7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ht="12.7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ht="12.7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ht="12.7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ht="12.7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ht="12.7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ht="12.7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ht="12.7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ht="12.7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ht="12.7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ht="12.7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ht="12.7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ht="12.7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ht="12.7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ht="12.7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ht="12.7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ht="12.7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ht="12.7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ht="12.75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ht="12.75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ht="12.75" customHeigh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ht="12.75" customHeight="1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ht="12.75" customHeight="1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ht="12.75" customHeight="1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ht="12.75" customHeight="1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 ht="12.75" customHeight="1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 ht="12.75" customHeight="1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75"/>
    <col customWidth="1" min="2" max="2" width="12.75"/>
    <col customWidth="1" min="3" max="15" width="9.13"/>
    <col customWidth="1" min="16" max="26" width="8.63"/>
  </cols>
  <sheetData>
    <row r="1" ht="12.75" customHeight="1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ht="12.75" customHeight="1">
      <c r="A2" s="24" t="s">
        <v>0</v>
      </c>
      <c r="B2" s="24" t="s">
        <v>1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ht="12.75" customHeight="1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ht="12.75" customHeight="1">
      <c r="A4" s="24" t="s">
        <v>2</v>
      </c>
      <c r="B4" s="24" t="s">
        <v>3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12.75" customHeight="1">
      <c r="A5" s="24" t="s">
        <v>4</v>
      </c>
      <c r="B5" s="24" t="s">
        <v>5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12.75" customHeight="1">
      <c r="A6" s="24" t="s">
        <v>6</v>
      </c>
      <c r="B6" s="24" t="s">
        <v>58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ht="12.75" customHeight="1">
      <c r="A7" s="24" t="s">
        <v>8</v>
      </c>
      <c r="B7" s="2">
        <v>45925.0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12.75" customHeight="1">
      <c r="A8" s="24" t="s">
        <v>9</v>
      </c>
      <c r="B8" s="3">
        <v>0.6609143518518519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12.75" customHeight="1">
      <c r="A9" s="24" t="s">
        <v>10</v>
      </c>
      <c r="B9" s="24" t="s">
        <v>11</v>
      </c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12.75" customHeight="1">
      <c r="A10" s="24" t="s">
        <v>12</v>
      </c>
      <c r="B10" s="24">
        <v>2.5030902E7</v>
      </c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12.75" customHeight="1">
      <c r="A11" s="24" t="s">
        <v>13</v>
      </c>
      <c r="B11" s="24" t="s">
        <v>14</v>
      </c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12.75" customHeight="1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2.75" customHeight="1">
      <c r="A13" s="4" t="s">
        <v>15</v>
      </c>
      <c r="B13" s="5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12.75" customHeight="1">
      <c r="A14" s="24" t="s">
        <v>16</v>
      </c>
      <c r="B14" s="24" t="s">
        <v>17</v>
      </c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12.75" customHeight="1">
      <c r="A15" s="24" t="s">
        <v>18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12.75" customHeight="1">
      <c r="A16" s="24" t="s">
        <v>19</v>
      </c>
      <c r="B16" s="24" t="s">
        <v>20</v>
      </c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ht="12.75" customHeight="1">
      <c r="A17" s="24"/>
      <c r="B17" s="24" t="s">
        <v>21</v>
      </c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12.75" customHeight="1">
      <c r="A18" s="24"/>
      <c r="B18" s="24" t="s">
        <v>22</v>
      </c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ht="12.75" customHeight="1">
      <c r="A19" s="24"/>
      <c r="B19" s="24" t="s">
        <v>23</v>
      </c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12.75" customHeight="1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12.75" customHeight="1">
      <c r="A21" s="4" t="s">
        <v>24</v>
      </c>
      <c r="B21" s="5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12.75" customHeight="1">
      <c r="A22" s="24" t="s">
        <v>25</v>
      </c>
      <c r="B22" s="24">
        <v>26.2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12.7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12.75" customHeight="1">
      <c r="A24" s="24"/>
      <c r="B24" s="7"/>
      <c r="C24" s="9">
        <v>1.0</v>
      </c>
      <c r="D24" s="9">
        <v>2.0</v>
      </c>
      <c r="E24" s="9">
        <v>3.0</v>
      </c>
      <c r="F24" s="9">
        <v>4.0</v>
      </c>
      <c r="G24" s="9">
        <v>5.0</v>
      </c>
      <c r="H24" s="9">
        <v>6.0</v>
      </c>
      <c r="I24" s="9">
        <v>7.0</v>
      </c>
      <c r="J24" s="9">
        <v>8.0</v>
      </c>
      <c r="K24" s="9">
        <v>9.0</v>
      </c>
      <c r="L24" s="9">
        <v>10.0</v>
      </c>
      <c r="M24" s="9">
        <v>11.0</v>
      </c>
      <c r="N24" s="9">
        <v>12.0</v>
      </c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12.75" customHeight="1">
      <c r="A25" s="24"/>
      <c r="B25" s="9" t="s">
        <v>41</v>
      </c>
      <c r="C25" s="10">
        <v>0.095</v>
      </c>
      <c r="D25" s="10">
        <v>0.092</v>
      </c>
      <c r="E25" s="10">
        <v>0.093</v>
      </c>
      <c r="F25" s="10">
        <v>0.098</v>
      </c>
      <c r="G25" s="10">
        <v>0.095</v>
      </c>
      <c r="H25" s="10">
        <v>0.096</v>
      </c>
      <c r="I25" s="10">
        <v>0.096</v>
      </c>
      <c r="J25" s="10">
        <v>0.096</v>
      </c>
      <c r="K25" s="10">
        <v>0.097</v>
      </c>
      <c r="L25" s="10">
        <v>0.095</v>
      </c>
      <c r="M25" s="10">
        <v>0.095</v>
      </c>
      <c r="N25" s="10">
        <v>0.094</v>
      </c>
      <c r="O25" s="11">
        <v>600.0</v>
      </c>
      <c r="P25" s="24">
        <f>AVERAGE(C25:N25)</f>
        <v>0.09516666667</v>
      </c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12.75" customHeight="1">
      <c r="A26" s="24"/>
      <c r="B26" s="9" t="s">
        <v>42</v>
      </c>
      <c r="C26" s="13">
        <v>1.397</v>
      </c>
      <c r="D26" s="13">
        <v>1.401</v>
      </c>
      <c r="E26" s="12">
        <v>1.38</v>
      </c>
      <c r="F26" s="13">
        <v>1.429</v>
      </c>
      <c r="G26" s="13">
        <v>1.435</v>
      </c>
      <c r="H26" s="13">
        <v>1.393</v>
      </c>
      <c r="I26" s="12">
        <v>1.378</v>
      </c>
      <c r="J26" s="14">
        <v>1.203</v>
      </c>
      <c r="K26" s="13">
        <v>1.451</v>
      </c>
      <c r="L26" s="12">
        <v>1.307</v>
      </c>
      <c r="M26" s="13">
        <v>1.392</v>
      </c>
      <c r="N26" s="13">
        <v>1.395</v>
      </c>
      <c r="O26" s="11">
        <v>600.0</v>
      </c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12.75" customHeight="1">
      <c r="A27" s="24"/>
      <c r="B27" s="9" t="s">
        <v>43</v>
      </c>
      <c r="C27" s="13">
        <v>1.398</v>
      </c>
      <c r="D27" s="13">
        <v>1.436</v>
      </c>
      <c r="E27" s="13">
        <v>1.442</v>
      </c>
      <c r="F27" s="13">
        <v>1.452</v>
      </c>
      <c r="G27" s="13">
        <v>1.459</v>
      </c>
      <c r="H27" s="13">
        <v>1.457</v>
      </c>
      <c r="I27" s="13">
        <v>1.484</v>
      </c>
      <c r="J27" s="15">
        <v>1.176</v>
      </c>
      <c r="K27" s="13">
        <v>1.477</v>
      </c>
      <c r="L27" s="13">
        <v>1.476</v>
      </c>
      <c r="M27" s="13">
        <v>1.448</v>
      </c>
      <c r="N27" s="13">
        <v>1.43</v>
      </c>
      <c r="O27" s="11">
        <v>600.0</v>
      </c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12.75" customHeight="1">
      <c r="A28" s="24"/>
      <c r="B28" s="9" t="s">
        <v>44</v>
      </c>
      <c r="C28" s="12">
        <v>1.379</v>
      </c>
      <c r="D28" s="13">
        <v>1.436</v>
      </c>
      <c r="E28" s="13">
        <v>1.421</v>
      </c>
      <c r="F28" s="13">
        <v>1.421</v>
      </c>
      <c r="G28" s="13">
        <v>1.428</v>
      </c>
      <c r="H28" s="13">
        <v>1.435</v>
      </c>
      <c r="I28" s="13">
        <v>1.42</v>
      </c>
      <c r="J28" s="16">
        <v>0.305</v>
      </c>
      <c r="K28" s="13">
        <v>1.424</v>
      </c>
      <c r="L28" s="13">
        <v>1.429</v>
      </c>
      <c r="M28" s="13">
        <v>1.403</v>
      </c>
      <c r="N28" s="13">
        <v>1.396</v>
      </c>
      <c r="O28" s="11">
        <v>600.0</v>
      </c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12.75" customHeight="1">
      <c r="A29" s="24"/>
      <c r="B29" s="9" t="s">
        <v>45</v>
      </c>
      <c r="C29" s="15">
        <v>1.153</v>
      </c>
      <c r="D29" s="13">
        <v>1.409</v>
      </c>
      <c r="E29" s="12">
        <v>1.357</v>
      </c>
      <c r="F29" s="26">
        <v>0.738</v>
      </c>
      <c r="G29" s="12">
        <v>1.353</v>
      </c>
      <c r="H29" s="12">
        <v>1.363</v>
      </c>
      <c r="I29" s="16">
        <v>0.299</v>
      </c>
      <c r="J29" s="10">
        <v>0.136</v>
      </c>
      <c r="K29" s="27">
        <v>0.971</v>
      </c>
      <c r="L29" s="26">
        <v>0.763</v>
      </c>
      <c r="M29" s="27">
        <v>0.963</v>
      </c>
      <c r="N29" s="25">
        <v>1.028</v>
      </c>
      <c r="O29" s="11">
        <v>600.0</v>
      </c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12.75" customHeight="1">
      <c r="A30" s="24"/>
      <c r="B30" s="9" t="s">
        <v>46</v>
      </c>
      <c r="C30" s="10">
        <v>0.124</v>
      </c>
      <c r="D30" s="10">
        <v>0.147</v>
      </c>
      <c r="E30" s="10">
        <v>0.142</v>
      </c>
      <c r="F30" s="10">
        <v>0.139</v>
      </c>
      <c r="G30" s="10">
        <v>0.161</v>
      </c>
      <c r="H30" s="10">
        <v>0.152</v>
      </c>
      <c r="I30" s="10">
        <v>0.147</v>
      </c>
      <c r="J30" s="10">
        <v>0.126</v>
      </c>
      <c r="K30" s="10">
        <v>0.139</v>
      </c>
      <c r="L30" s="10">
        <v>0.13</v>
      </c>
      <c r="M30" s="10">
        <v>0.123</v>
      </c>
      <c r="N30" s="10">
        <v>0.108</v>
      </c>
      <c r="O30" s="11">
        <v>600.0</v>
      </c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12.75" customHeight="1">
      <c r="A31" s="24"/>
      <c r="B31" s="9" t="s">
        <v>47</v>
      </c>
      <c r="C31" s="10">
        <v>0.104</v>
      </c>
      <c r="D31" s="10">
        <v>0.125</v>
      </c>
      <c r="E31" s="10">
        <v>0.125</v>
      </c>
      <c r="F31" s="10">
        <v>0.126</v>
      </c>
      <c r="G31" s="10">
        <v>0.122</v>
      </c>
      <c r="H31" s="10">
        <v>0.125</v>
      </c>
      <c r="I31" s="10">
        <v>0.127</v>
      </c>
      <c r="J31" s="10">
        <v>0.115</v>
      </c>
      <c r="K31" s="10">
        <v>0.106</v>
      </c>
      <c r="L31" s="10">
        <v>0.114</v>
      </c>
      <c r="M31" s="10">
        <v>0.108</v>
      </c>
      <c r="N31" s="10">
        <v>0.097</v>
      </c>
      <c r="O31" s="11">
        <v>600.0</v>
      </c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12.75" customHeight="1">
      <c r="A32" s="24"/>
      <c r="B32" s="9" t="s">
        <v>48</v>
      </c>
      <c r="C32" s="10">
        <v>0.113</v>
      </c>
      <c r="D32" s="10">
        <v>0.131</v>
      </c>
      <c r="E32" s="10">
        <v>0.108</v>
      </c>
      <c r="F32" s="10">
        <v>0.102</v>
      </c>
      <c r="G32" s="10">
        <v>0.106</v>
      </c>
      <c r="H32" s="10">
        <v>0.101</v>
      </c>
      <c r="I32" s="10">
        <v>0.112</v>
      </c>
      <c r="J32" s="10">
        <v>0.101</v>
      </c>
      <c r="K32" s="10">
        <v>0.098</v>
      </c>
      <c r="L32" s="10">
        <v>0.097</v>
      </c>
      <c r="M32" s="10">
        <v>0.096</v>
      </c>
      <c r="N32" s="10">
        <v>0.101</v>
      </c>
      <c r="O32" s="11">
        <v>600.0</v>
      </c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12.7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12.75" customHeight="1">
      <c r="A34" s="24"/>
      <c r="B34" s="24"/>
      <c r="C34" s="24">
        <f t="shared" ref="C34:N34" si="1">C26-$P$25</f>
        <v>1.301833333</v>
      </c>
      <c r="D34" s="24">
        <f t="shared" si="1"/>
        <v>1.305833333</v>
      </c>
      <c r="E34" s="24">
        <f t="shared" si="1"/>
        <v>1.284833333</v>
      </c>
      <c r="F34" s="24">
        <f t="shared" si="1"/>
        <v>1.333833333</v>
      </c>
      <c r="G34" s="24">
        <f t="shared" si="1"/>
        <v>1.339833333</v>
      </c>
      <c r="H34" s="24">
        <f t="shared" si="1"/>
        <v>1.297833333</v>
      </c>
      <c r="I34" s="24">
        <f t="shared" si="1"/>
        <v>1.282833333</v>
      </c>
      <c r="J34" s="24">
        <f t="shared" si="1"/>
        <v>1.107833333</v>
      </c>
      <c r="K34" s="24">
        <f t="shared" si="1"/>
        <v>1.355833333</v>
      </c>
      <c r="L34" s="24">
        <f t="shared" si="1"/>
        <v>1.211833333</v>
      </c>
      <c r="M34" s="24">
        <f t="shared" si="1"/>
        <v>1.296833333</v>
      </c>
      <c r="N34" s="24">
        <f t="shared" si="1"/>
        <v>1.299833333</v>
      </c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ht="12.75" customHeight="1">
      <c r="A35" s="24"/>
      <c r="B35" s="24"/>
      <c r="C35" s="24">
        <f t="shared" ref="C35:N35" si="2">C27-$P$25</f>
        <v>1.302833333</v>
      </c>
      <c r="D35" s="24">
        <f t="shared" si="2"/>
        <v>1.340833333</v>
      </c>
      <c r="E35" s="24">
        <f t="shared" si="2"/>
        <v>1.346833333</v>
      </c>
      <c r="F35" s="24">
        <f t="shared" si="2"/>
        <v>1.356833333</v>
      </c>
      <c r="G35" s="24">
        <f t="shared" si="2"/>
        <v>1.363833333</v>
      </c>
      <c r="H35" s="24">
        <f t="shared" si="2"/>
        <v>1.361833333</v>
      </c>
      <c r="I35" s="24">
        <f t="shared" si="2"/>
        <v>1.388833333</v>
      </c>
      <c r="J35" s="24">
        <f t="shared" si="2"/>
        <v>1.080833333</v>
      </c>
      <c r="K35" s="24">
        <f t="shared" si="2"/>
        <v>1.381833333</v>
      </c>
      <c r="L35" s="24">
        <f t="shared" si="2"/>
        <v>1.380833333</v>
      </c>
      <c r="M35" s="24">
        <f t="shared" si="2"/>
        <v>1.352833333</v>
      </c>
      <c r="N35" s="24">
        <f t="shared" si="2"/>
        <v>1.334833333</v>
      </c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12.75" customHeight="1">
      <c r="A36" s="24"/>
      <c r="B36" s="24"/>
      <c r="C36" s="24">
        <f t="shared" ref="C36:N36" si="3">C28-$P$25</f>
        <v>1.283833333</v>
      </c>
      <c r="D36" s="24">
        <f t="shared" si="3"/>
        <v>1.340833333</v>
      </c>
      <c r="E36" s="24">
        <f t="shared" si="3"/>
        <v>1.325833333</v>
      </c>
      <c r="F36" s="24">
        <f t="shared" si="3"/>
        <v>1.325833333</v>
      </c>
      <c r="G36" s="24">
        <f t="shared" si="3"/>
        <v>1.332833333</v>
      </c>
      <c r="H36" s="24">
        <f t="shared" si="3"/>
        <v>1.339833333</v>
      </c>
      <c r="I36" s="24">
        <f t="shared" si="3"/>
        <v>1.324833333</v>
      </c>
      <c r="J36" s="24">
        <f t="shared" si="3"/>
        <v>0.2098333333</v>
      </c>
      <c r="K36" s="24">
        <f t="shared" si="3"/>
        <v>1.328833333</v>
      </c>
      <c r="L36" s="24">
        <f t="shared" si="3"/>
        <v>1.333833333</v>
      </c>
      <c r="M36" s="24">
        <f t="shared" si="3"/>
        <v>1.307833333</v>
      </c>
      <c r="N36" s="24">
        <f t="shared" si="3"/>
        <v>1.300833333</v>
      </c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ht="12.75" customHeight="1">
      <c r="A37" s="24"/>
      <c r="B37" s="24"/>
      <c r="C37" s="24">
        <f t="shared" ref="C37:N37" si="4">C29-$P$25</f>
        <v>1.057833333</v>
      </c>
      <c r="D37" s="24">
        <f t="shared" si="4"/>
        <v>1.313833333</v>
      </c>
      <c r="E37" s="24">
        <f t="shared" si="4"/>
        <v>1.261833333</v>
      </c>
      <c r="F37" s="24">
        <f t="shared" si="4"/>
        <v>0.6428333333</v>
      </c>
      <c r="G37" s="24">
        <f t="shared" si="4"/>
        <v>1.257833333</v>
      </c>
      <c r="H37" s="24">
        <f t="shared" si="4"/>
        <v>1.267833333</v>
      </c>
      <c r="I37" s="24">
        <f t="shared" si="4"/>
        <v>0.2038333333</v>
      </c>
      <c r="J37" s="24">
        <f t="shared" si="4"/>
        <v>0.04083333333</v>
      </c>
      <c r="K37" s="24">
        <f t="shared" si="4"/>
        <v>0.8758333333</v>
      </c>
      <c r="L37" s="24">
        <f t="shared" si="4"/>
        <v>0.6678333333</v>
      </c>
      <c r="M37" s="24">
        <f t="shared" si="4"/>
        <v>0.8678333333</v>
      </c>
      <c r="N37" s="24">
        <f t="shared" si="4"/>
        <v>0.9328333333</v>
      </c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ht="12.75" customHeight="1">
      <c r="A38" s="24"/>
      <c r="B38" s="24"/>
      <c r="C38" s="24">
        <f t="shared" ref="C38:N38" si="5">C30-$P$25</f>
        <v>0.02883333333</v>
      </c>
      <c r="D38" s="24">
        <f t="shared" si="5"/>
        <v>0.05183333333</v>
      </c>
      <c r="E38" s="24">
        <f t="shared" si="5"/>
        <v>0.04683333333</v>
      </c>
      <c r="F38" s="24">
        <f t="shared" si="5"/>
        <v>0.04383333333</v>
      </c>
      <c r="G38" s="24">
        <f t="shared" si="5"/>
        <v>0.06583333333</v>
      </c>
      <c r="H38" s="24">
        <f t="shared" si="5"/>
        <v>0.05683333333</v>
      </c>
      <c r="I38" s="24">
        <f t="shared" si="5"/>
        <v>0.05183333333</v>
      </c>
      <c r="J38" s="24">
        <f t="shared" si="5"/>
        <v>0.03083333333</v>
      </c>
      <c r="K38" s="24">
        <f t="shared" si="5"/>
        <v>0.04383333333</v>
      </c>
      <c r="L38" s="24">
        <f t="shared" si="5"/>
        <v>0.03483333333</v>
      </c>
      <c r="M38" s="24">
        <f t="shared" si="5"/>
        <v>0.02783333333</v>
      </c>
      <c r="N38" s="24">
        <f t="shared" si="5"/>
        <v>0.01283333333</v>
      </c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t="12.75" customHeight="1">
      <c r="A39" s="24"/>
      <c r="B39" s="24"/>
      <c r="C39" s="24">
        <f t="shared" ref="C39:N39" si="6">C31-$P$25</f>
        <v>0.008833333333</v>
      </c>
      <c r="D39" s="24">
        <f t="shared" si="6"/>
        <v>0.02983333333</v>
      </c>
      <c r="E39" s="24">
        <f t="shared" si="6"/>
        <v>0.02983333333</v>
      </c>
      <c r="F39" s="24">
        <f t="shared" si="6"/>
        <v>0.03083333333</v>
      </c>
      <c r="G39" s="24">
        <f t="shared" si="6"/>
        <v>0.02683333333</v>
      </c>
      <c r="H39" s="24">
        <f t="shared" si="6"/>
        <v>0.02983333333</v>
      </c>
      <c r="I39" s="24">
        <f t="shared" si="6"/>
        <v>0.03183333333</v>
      </c>
      <c r="J39" s="24">
        <f t="shared" si="6"/>
        <v>0.01983333333</v>
      </c>
      <c r="K39" s="24">
        <f t="shared" si="6"/>
        <v>0.01083333333</v>
      </c>
      <c r="L39" s="24">
        <f t="shared" si="6"/>
        <v>0.01883333333</v>
      </c>
      <c r="M39" s="24">
        <f t="shared" si="6"/>
        <v>0.01283333333</v>
      </c>
      <c r="N39" s="24">
        <f t="shared" si="6"/>
        <v>0.001833333333</v>
      </c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12.75" customHeight="1">
      <c r="A40" s="24"/>
      <c r="B40" s="24"/>
      <c r="C40" s="24">
        <f t="shared" ref="C40:N40" si="7">C32-$P$25</f>
        <v>0.01783333333</v>
      </c>
      <c r="D40" s="24">
        <f t="shared" si="7"/>
        <v>0.03583333333</v>
      </c>
      <c r="E40" s="24">
        <f t="shared" si="7"/>
        <v>0.01283333333</v>
      </c>
      <c r="F40" s="24">
        <f t="shared" si="7"/>
        <v>0.006833333333</v>
      </c>
      <c r="G40" s="24">
        <f t="shared" si="7"/>
        <v>0.01083333333</v>
      </c>
      <c r="H40" s="24">
        <f t="shared" si="7"/>
        <v>0.005833333333</v>
      </c>
      <c r="I40" s="24">
        <f t="shared" si="7"/>
        <v>0.01683333333</v>
      </c>
      <c r="J40" s="24">
        <f t="shared" si="7"/>
        <v>0.005833333333</v>
      </c>
      <c r="K40" s="24">
        <f t="shared" si="7"/>
        <v>0.002833333333</v>
      </c>
      <c r="L40" s="24">
        <f t="shared" si="7"/>
        <v>0.001833333333</v>
      </c>
      <c r="M40" s="24">
        <f t="shared" si="7"/>
        <v>0.0008333333333</v>
      </c>
      <c r="N40" s="24">
        <f t="shared" si="7"/>
        <v>0.005833333333</v>
      </c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t="12.7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ht="12.75" customHeight="1">
      <c r="A42" s="24"/>
      <c r="B42" s="24"/>
      <c r="C42" s="24">
        <f t="shared" ref="C42:C48" si="8">C34/$C$34</f>
        <v>1</v>
      </c>
      <c r="D42" s="24">
        <f t="shared" ref="D42:D48" si="9">D34/$D$34</f>
        <v>1</v>
      </c>
      <c r="E42" s="24">
        <f t="shared" ref="E42:E48" si="10">E34/$E$34</f>
        <v>1</v>
      </c>
      <c r="F42" s="24">
        <f t="shared" ref="F42:F48" si="11">F34/$F$34</f>
        <v>1</v>
      </c>
      <c r="G42" s="24">
        <f t="shared" ref="G42:G48" si="12">G34/$G$34</f>
        <v>1</v>
      </c>
      <c r="H42" s="24">
        <f t="shared" ref="H42:H48" si="13">H34/$H$34</f>
        <v>1</v>
      </c>
      <c r="I42" s="24">
        <f t="shared" ref="I42:I48" si="14">I34/$I$34</f>
        <v>1</v>
      </c>
      <c r="J42" s="24">
        <f t="shared" ref="J42:J48" si="15">J34/$J$34</f>
        <v>1</v>
      </c>
      <c r="K42" s="24">
        <f t="shared" ref="K42:K48" si="16">K34/$K$34</f>
        <v>1</v>
      </c>
      <c r="L42" s="24">
        <f t="shared" ref="L42:L48" si="17">L34/$L$34</f>
        <v>1</v>
      </c>
      <c r="M42" s="24">
        <f t="shared" ref="M42:M48" si="18">M34/$M$34</f>
        <v>1</v>
      </c>
      <c r="N42" s="24">
        <f t="shared" ref="N42:N48" si="19">N34/$N$34</f>
        <v>1</v>
      </c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ht="12.75" customHeight="1">
      <c r="A43" s="24"/>
      <c r="B43" s="24"/>
      <c r="C43" s="24">
        <f t="shared" si="8"/>
        <v>1.000768147</v>
      </c>
      <c r="D43" s="24">
        <f t="shared" si="9"/>
        <v>1.026802808</v>
      </c>
      <c r="E43" s="24">
        <f t="shared" si="10"/>
        <v>1.048255286</v>
      </c>
      <c r="F43" s="24">
        <f t="shared" si="11"/>
        <v>1.017243534</v>
      </c>
      <c r="G43" s="24">
        <f t="shared" si="12"/>
        <v>1.017912676</v>
      </c>
      <c r="H43" s="24">
        <f t="shared" si="13"/>
        <v>1.049312957</v>
      </c>
      <c r="I43" s="24">
        <f t="shared" si="14"/>
        <v>1.082629596</v>
      </c>
      <c r="J43" s="24">
        <f t="shared" si="15"/>
        <v>0.9756281029</v>
      </c>
      <c r="K43" s="24">
        <f t="shared" si="16"/>
        <v>1.019176398</v>
      </c>
      <c r="L43" s="24">
        <f t="shared" si="17"/>
        <v>1.139458121</v>
      </c>
      <c r="M43" s="24">
        <f t="shared" si="18"/>
        <v>1.04318211</v>
      </c>
      <c r="N43" s="24">
        <f t="shared" si="19"/>
        <v>1.026926529</v>
      </c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ht="12.75" customHeight="1">
      <c r="A44" s="24"/>
      <c r="B44" s="24"/>
      <c r="C44" s="24">
        <f t="shared" si="8"/>
        <v>0.9861733453</v>
      </c>
      <c r="D44" s="24">
        <f t="shared" si="9"/>
        <v>1.026802808</v>
      </c>
      <c r="E44" s="24">
        <f t="shared" si="10"/>
        <v>1.031910754</v>
      </c>
      <c r="F44" s="24">
        <f t="shared" si="11"/>
        <v>0.9940022492</v>
      </c>
      <c r="G44" s="24">
        <f t="shared" si="12"/>
        <v>0.9947754696</v>
      </c>
      <c r="H44" s="24">
        <f t="shared" si="13"/>
        <v>1.032361628</v>
      </c>
      <c r="I44" s="24">
        <f t="shared" si="14"/>
        <v>1.032740029</v>
      </c>
      <c r="J44" s="24">
        <f t="shared" si="15"/>
        <v>0.1894087558</v>
      </c>
      <c r="K44" s="24">
        <f t="shared" si="16"/>
        <v>0.9800860479</v>
      </c>
      <c r="L44" s="24">
        <f t="shared" si="17"/>
        <v>1.10067391</v>
      </c>
      <c r="M44" s="24">
        <f t="shared" si="18"/>
        <v>1.0084822</v>
      </c>
      <c r="N44" s="24">
        <f t="shared" si="19"/>
        <v>1.000769329</v>
      </c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ht="12.75" customHeight="1">
      <c r="A45" s="24"/>
      <c r="B45" s="28"/>
      <c r="C45" s="24">
        <f t="shared" si="8"/>
        <v>0.8125720138</v>
      </c>
      <c r="D45" s="24">
        <f t="shared" si="9"/>
        <v>1.006126356</v>
      </c>
      <c r="E45" s="24">
        <f t="shared" si="10"/>
        <v>0.9820988455</v>
      </c>
      <c r="F45" s="24">
        <f t="shared" si="11"/>
        <v>0.4819442709</v>
      </c>
      <c r="G45" s="24">
        <f t="shared" si="12"/>
        <v>0.938798358</v>
      </c>
      <c r="H45" s="24">
        <f t="shared" si="13"/>
        <v>0.9768845512</v>
      </c>
      <c r="I45" s="24">
        <f t="shared" si="14"/>
        <v>0.1588930752</v>
      </c>
      <c r="J45" s="24">
        <f t="shared" si="15"/>
        <v>0.03685873326</v>
      </c>
      <c r="K45" s="24">
        <f t="shared" si="16"/>
        <v>0.6459741856</v>
      </c>
      <c r="L45" s="24">
        <f t="shared" si="17"/>
        <v>0.5510933847</v>
      </c>
      <c r="M45" s="24">
        <f t="shared" si="18"/>
        <v>0.669194191</v>
      </c>
      <c r="N45" s="24">
        <f t="shared" si="19"/>
        <v>0.7176561098</v>
      </c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ht="12.75" customHeight="1">
      <c r="A46" s="24"/>
      <c r="B46" s="24"/>
      <c r="C46" s="24">
        <f t="shared" si="8"/>
        <v>0.02214825246</v>
      </c>
      <c r="D46" s="24">
        <f t="shared" si="9"/>
        <v>0.0396936822</v>
      </c>
      <c r="E46" s="24">
        <f t="shared" si="10"/>
        <v>0.03645090154</v>
      </c>
      <c r="F46" s="24">
        <f t="shared" si="11"/>
        <v>0.0328626765</v>
      </c>
      <c r="G46" s="24">
        <f t="shared" si="12"/>
        <v>0.04913546461</v>
      </c>
      <c r="H46" s="24">
        <f t="shared" si="13"/>
        <v>0.04379093361</v>
      </c>
      <c r="I46" s="24">
        <f t="shared" si="14"/>
        <v>0.04040535273</v>
      </c>
      <c r="J46" s="24">
        <f t="shared" si="15"/>
        <v>0.02783210471</v>
      </c>
      <c r="K46" s="24">
        <f t="shared" si="16"/>
        <v>0.03232944069</v>
      </c>
      <c r="L46" s="24">
        <f t="shared" si="17"/>
        <v>0.02874432678</v>
      </c>
      <c r="M46" s="24">
        <f t="shared" si="18"/>
        <v>0.02146253695</v>
      </c>
      <c r="N46" s="24">
        <f t="shared" si="19"/>
        <v>0.009873060649</v>
      </c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ht="12.75" customHeight="1">
      <c r="A47" s="24"/>
      <c r="B47" s="24"/>
      <c r="C47" s="24">
        <f t="shared" si="8"/>
        <v>0.006785302778</v>
      </c>
      <c r="D47" s="24">
        <f t="shared" si="9"/>
        <v>0.02284620294</v>
      </c>
      <c r="E47" s="24">
        <f t="shared" si="10"/>
        <v>0.02321961344</v>
      </c>
      <c r="F47" s="24">
        <f t="shared" si="11"/>
        <v>0.02311633138</v>
      </c>
      <c r="G47" s="24">
        <f t="shared" si="12"/>
        <v>0.02002736659</v>
      </c>
      <c r="H47" s="24">
        <f t="shared" si="13"/>
        <v>0.02298702966</v>
      </c>
      <c r="I47" s="24">
        <f t="shared" si="14"/>
        <v>0.02481486293</v>
      </c>
      <c r="J47" s="24">
        <f t="shared" si="15"/>
        <v>0.0179028133</v>
      </c>
      <c r="K47" s="24">
        <f t="shared" si="16"/>
        <v>0.00799016595</v>
      </c>
      <c r="L47" s="24">
        <f t="shared" si="17"/>
        <v>0.01554119103</v>
      </c>
      <c r="M47" s="24">
        <f t="shared" si="18"/>
        <v>0.00989590027</v>
      </c>
      <c r="N47" s="24">
        <f t="shared" si="19"/>
        <v>0.001410437236</v>
      </c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ht="12.75" customHeight="1">
      <c r="A48" s="24"/>
      <c r="B48" s="24"/>
      <c r="C48" s="24">
        <f t="shared" si="8"/>
        <v>0.01369863014</v>
      </c>
      <c r="D48" s="24">
        <f t="shared" si="9"/>
        <v>0.02744097001</v>
      </c>
      <c r="E48" s="24">
        <f t="shared" si="10"/>
        <v>0.009988325334</v>
      </c>
      <c r="F48" s="24">
        <f t="shared" si="11"/>
        <v>0.005123078845</v>
      </c>
      <c r="G48" s="24">
        <f t="shared" si="12"/>
        <v>0.008085582784</v>
      </c>
      <c r="H48" s="24">
        <f t="shared" si="13"/>
        <v>0.004494670605</v>
      </c>
      <c r="I48" s="24">
        <f t="shared" si="14"/>
        <v>0.01312199558</v>
      </c>
      <c r="J48" s="24">
        <f t="shared" si="15"/>
        <v>0.005265533323</v>
      </c>
      <c r="K48" s="24">
        <f t="shared" si="16"/>
        <v>0.00208973571</v>
      </c>
      <c r="L48" s="24">
        <f t="shared" si="17"/>
        <v>0.001512859304</v>
      </c>
      <c r="M48" s="24">
        <f t="shared" si="18"/>
        <v>0.0006425909266</v>
      </c>
      <c r="N48" s="24">
        <f t="shared" si="19"/>
        <v>0.00448775484</v>
      </c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ht="12.7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ht="12.7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ht="12.7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ht="12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ht="12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ht="12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ht="12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ht="12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ht="12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ht="12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ht="12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t="12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ht="12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ht="12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ht="12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ht="12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ht="12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ht="12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ht="12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ht="12.7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ht="12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ht="12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ht="12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ht="12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ht="12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ht="12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ht="12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ht="12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ht="12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ht="12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ht="12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ht="12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ht="12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ht="12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ht="12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ht="12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ht="12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ht="12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ht="12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ht="12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ht="12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ht="12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ht="12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ht="12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ht="12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ht="12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ht="12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ht="12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ht="12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ht="12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ht="12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ht="12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ht="12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ht="12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ht="12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ht="12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ht="12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ht="12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ht="12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ht="12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ht="12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ht="12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ht="12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ht="12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ht="12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ht="12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ht="12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ht="12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ht="12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ht="12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ht="12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ht="12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ht="12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ht="12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ht="12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ht="12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ht="12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ht="12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ht="12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ht="12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ht="12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ht="12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ht="12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ht="12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ht="12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ht="12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ht="12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ht="12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ht="12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ht="12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ht="12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ht="12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ht="12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ht="12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ht="12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ht="12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ht="12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ht="12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ht="12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ht="12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ht="12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ht="12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ht="12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ht="12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ht="12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ht="12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ht="12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ht="12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ht="12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ht="12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ht="12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ht="12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ht="12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ht="12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ht="12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ht="12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ht="12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ht="12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ht="12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ht="12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ht="12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ht="12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ht="12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ht="12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ht="12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ht="12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ht="12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ht="12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ht="12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ht="12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ht="12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ht="12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ht="12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ht="12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ht="12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ht="12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ht="12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ht="12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ht="12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ht="12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ht="12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ht="12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ht="12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ht="12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ht="12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ht="12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ht="12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ht="12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ht="12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ht="12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ht="12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ht="12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ht="12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ht="12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ht="12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ht="12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ht="12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ht="12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ht="12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ht="12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ht="12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ht="12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ht="12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ht="12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ht="12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ht="12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ht="12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ht="12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ht="12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ht="12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ht="12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ht="12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ht="12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ht="12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ht="12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ht="12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ht="12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ht="12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ht="12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ht="12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ht="12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ht="12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ht="12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ht="12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ht="12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ht="12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ht="12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ht="12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ht="12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ht="12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ht="12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ht="12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ht="12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ht="12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ht="12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ht="12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ht="12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ht="12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ht="12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ht="12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ht="12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ht="12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ht="12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ht="12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ht="12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ht="12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ht="12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ht="12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ht="12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ht="12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ht="12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ht="12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ht="12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ht="12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ht="12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ht="12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ht="12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ht="12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ht="12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ht="12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ht="12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ht="12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ht="12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ht="12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ht="12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ht="12.7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ht="12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ht="12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ht="12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ht="12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ht="12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ht="12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ht="12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ht="12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ht="12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ht="12.7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ht="12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ht="12.7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ht="12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ht="12.7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ht="12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ht="12.7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ht="12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ht="12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ht="12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ht="12.7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ht="12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ht="12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ht="12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ht="12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ht="12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ht="12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ht="12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ht="12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ht="12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ht="12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ht="12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ht="12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ht="12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ht="12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ht="12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ht="12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ht="12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ht="12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ht="12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ht="12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ht="12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ht="12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ht="12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ht="12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ht="12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ht="12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ht="12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ht="12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ht="12.7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ht="12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ht="12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ht="12.7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ht="12.7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ht="12.7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ht="12.7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ht="12.7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ht="12.7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ht="12.7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ht="12.7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ht="12.7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ht="12.7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ht="12.7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ht="12.7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ht="12.7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ht="12.7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ht="12.7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ht="12.7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ht="12.7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ht="12.7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ht="12.7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ht="12.7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ht="12.7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ht="12.7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ht="12.7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ht="12.7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ht="12.7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ht="12.7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ht="12.7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ht="12.7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ht="12.7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ht="12.7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ht="12.7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ht="12.7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ht="12.7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ht="12.7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ht="12.7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ht="12.7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ht="12.7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ht="12.7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ht="12.7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ht="12.7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ht="12.7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ht="12.7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ht="12.7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ht="12.7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ht="12.7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ht="12.7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ht="12.7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ht="12.7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ht="12.7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ht="12.7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ht="12.7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ht="12.7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ht="12.7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ht="12.7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ht="12.7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ht="12.7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ht="12.7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ht="12.7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ht="12.7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ht="12.7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ht="12.7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ht="12.7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ht="12.7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ht="12.7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ht="12.7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ht="12.7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ht="12.7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ht="12.7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ht="12.7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ht="12.7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ht="12.7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ht="12.7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ht="12.7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ht="12.7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ht="12.7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ht="12.7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ht="12.7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ht="12.7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ht="12.7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ht="12.7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ht="12.7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ht="12.7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ht="12.7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ht="12.7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ht="12.7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ht="12.7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ht="12.7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ht="12.7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ht="12.7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ht="12.7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ht="12.7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ht="12.7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ht="12.7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ht="12.7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ht="12.7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ht="12.7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ht="12.7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ht="12.7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ht="12.7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ht="12.7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ht="12.7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ht="12.7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ht="12.7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ht="12.7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ht="12.7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ht="12.7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ht="12.7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ht="12.7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ht="12.7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ht="12.7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ht="12.7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ht="12.7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ht="12.7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ht="12.7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ht="12.7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ht="12.7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ht="12.7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ht="12.7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ht="12.7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ht="12.7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ht="12.7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ht="12.7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ht="12.7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ht="12.7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ht="12.7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ht="12.7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ht="12.7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ht="12.7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ht="12.7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ht="12.7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ht="12.7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ht="12.7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ht="12.7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ht="12.7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ht="12.7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ht="12.7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ht="12.7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ht="12.7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ht="12.7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ht="12.7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ht="12.7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ht="12.7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ht="12.7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ht="12.7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ht="12.7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ht="12.7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ht="12.7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ht="12.7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ht="12.7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ht="12.7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ht="12.7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ht="12.7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ht="12.7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ht="12.7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ht="12.7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ht="12.7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ht="12.7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ht="12.7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ht="12.7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ht="12.7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ht="12.7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ht="12.7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ht="12.7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ht="12.7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ht="12.7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ht="12.7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ht="12.7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ht="12.7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ht="12.7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ht="12.7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ht="12.7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ht="12.7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ht="12.7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ht="12.7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ht="12.7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ht="12.7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ht="12.7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ht="12.7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ht="12.7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ht="12.7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ht="12.7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ht="12.7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ht="12.7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ht="12.7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ht="12.7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ht="12.7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ht="12.7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ht="12.7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ht="12.7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ht="12.7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ht="12.7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ht="12.7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ht="12.7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ht="12.7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ht="12.7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ht="12.7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ht="12.7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ht="12.7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ht="12.7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ht="12.7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ht="12.7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ht="12.7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ht="12.7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ht="12.7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ht="12.7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ht="12.7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ht="12.7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ht="12.7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ht="12.7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ht="12.7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ht="12.7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ht="12.7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ht="12.7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ht="12.7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ht="12.7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ht="12.7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ht="12.7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ht="12.7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ht="12.7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ht="12.7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ht="12.7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ht="12.7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ht="12.7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ht="12.7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ht="12.7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ht="12.7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ht="12.7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ht="12.7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ht="12.7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ht="12.7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ht="12.7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ht="12.7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ht="12.7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ht="12.7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ht="12.7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ht="12.7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ht="12.7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ht="12.7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ht="12.7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ht="12.7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ht="12.7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ht="12.7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ht="12.7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ht="12.7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ht="12.7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ht="12.7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ht="12.7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ht="12.7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ht="12.7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ht="12.7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ht="12.7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ht="12.7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ht="12.7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ht="12.7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ht="12.7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ht="12.7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ht="12.7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ht="12.7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ht="12.7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ht="12.7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ht="12.7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ht="12.7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ht="12.7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ht="12.7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ht="12.7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ht="12.7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ht="12.7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ht="12.7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ht="12.7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ht="12.7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ht="12.7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ht="12.7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ht="12.7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ht="12.7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ht="12.7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ht="12.7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ht="12.7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ht="12.7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ht="12.7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ht="12.7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ht="12.7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ht="12.7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ht="12.7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ht="12.7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ht="12.7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ht="12.7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ht="12.7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ht="12.7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ht="12.7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ht="12.7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ht="12.7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ht="12.7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ht="12.7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ht="12.7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ht="12.7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ht="12.7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ht="12.7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ht="12.7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ht="12.7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ht="12.7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ht="12.7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ht="12.7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ht="12.7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ht="12.7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ht="12.7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ht="12.7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ht="12.7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ht="12.7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ht="12.7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ht="12.7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ht="12.7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ht="12.7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ht="12.7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ht="12.7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ht="12.7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ht="12.7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ht="12.7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ht="12.7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ht="12.7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ht="12.7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ht="12.7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ht="12.7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ht="12.7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ht="12.7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ht="12.7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ht="12.7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ht="12.7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ht="12.7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ht="12.7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ht="12.7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ht="12.7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ht="12.7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ht="12.7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ht="12.7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ht="12.7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ht="12.7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ht="12.7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ht="12.7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ht="12.7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ht="12.7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ht="12.7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ht="12.7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ht="12.7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ht="12.7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ht="12.7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ht="12.7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ht="12.7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ht="12.7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ht="12.7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ht="12.7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ht="12.7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ht="12.7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ht="12.7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ht="12.7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ht="12.7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ht="12.7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ht="12.7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ht="12.7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ht="12.7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ht="12.7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ht="12.7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ht="12.7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ht="12.7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ht="12.7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ht="12.7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ht="12.7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ht="12.7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ht="12.7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ht="12.7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ht="12.7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ht="12.7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ht="12.7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ht="12.7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ht="12.7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ht="12.7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ht="12.7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ht="12.7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ht="12.7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ht="12.7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ht="12.7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ht="12.7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ht="12.7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ht="12.7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ht="12.7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ht="12.7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ht="12.7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ht="12.7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ht="12.7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ht="12.7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ht="12.7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ht="12.7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ht="12.7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ht="12.7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ht="12.7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ht="12.7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ht="12.7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ht="12.7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ht="12.7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ht="12.7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ht="12.7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ht="12.7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ht="12.7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ht="12.7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ht="12.7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ht="12.7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ht="12.7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ht="12.7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ht="12.7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ht="12.7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ht="12.7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ht="12.7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ht="12.7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ht="12.7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ht="12.7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ht="12.7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ht="12.7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ht="12.7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ht="12.7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ht="12.7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ht="12.7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ht="12.7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ht="12.7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ht="12.7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ht="12.7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ht="12.7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ht="12.7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ht="12.7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ht="12.7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ht="12.7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ht="12.7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ht="12.7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ht="12.7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ht="12.7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ht="12.7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ht="12.7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ht="12.7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ht="12.7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ht="12.7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ht="12.7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ht="12.7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ht="12.7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ht="12.7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ht="12.7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ht="12.7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ht="12.7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ht="12.7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ht="12.7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ht="12.7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ht="12.7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ht="12.7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ht="12.7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ht="12.7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ht="12.7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ht="12.7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ht="12.7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ht="12.7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ht="12.7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ht="12.7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ht="12.7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ht="12.7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ht="12.7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ht="12.7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ht="12.7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ht="12.7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ht="12.7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ht="12.7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ht="12.7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ht="12.7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ht="12.7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ht="12.7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ht="12.7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ht="12.7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ht="12.7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ht="12.7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ht="12.7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ht="12.7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ht="12.7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ht="12.7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ht="12.7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ht="12.7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ht="12.7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ht="12.7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ht="12.7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ht="12.7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ht="12.7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ht="12.7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ht="12.7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ht="12.7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ht="12.7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ht="12.7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ht="12.7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ht="12.7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ht="12.7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ht="12.7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ht="12.7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ht="12.7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ht="12.7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ht="12.7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ht="12.7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ht="12.7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ht="12.7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ht="12.7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ht="12.7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ht="12.7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ht="12.7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ht="12.7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ht="12.7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ht="12.7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ht="12.7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ht="12.7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ht="12.7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ht="12.7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ht="12.7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ht="12.7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ht="12.7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ht="12.7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ht="12.7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ht="12.7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ht="12.7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ht="12.7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ht="12.7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ht="12.7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ht="12.7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ht="12.7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ht="12.7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ht="12.7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ht="12.7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ht="12.7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ht="12.7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ht="12.7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ht="12.7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ht="12.7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ht="12.7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ht="12.7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ht="12.7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ht="12.7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ht="12.7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ht="12.7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ht="12.7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ht="12.7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ht="12.7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ht="12.7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ht="12.7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ht="12.7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ht="12.7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ht="12.7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ht="12.7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ht="12.7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ht="12.7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ht="12.7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ht="12.7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ht="12.7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ht="12.7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ht="12.7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ht="12.7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ht="12.7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ht="12.7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ht="12.7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ht="12.7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ht="12.7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ht="12.7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ht="12.7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ht="12.7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ht="12.7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ht="12.7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ht="12.7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ht="12.7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ht="12.7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ht="12.7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ht="12.7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ht="12.7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ht="12.7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ht="12.7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ht="12.7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ht="12.7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ht="12.7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ht="12.7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ht="12.7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ht="12.7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ht="12.7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ht="12.7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ht="12.7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ht="12.7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ht="12.7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ht="12.7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ht="12.7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ht="12.7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ht="12.7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ht="12.7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ht="12.7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ht="12.7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ht="12.7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ht="12.7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ht="12.7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ht="12.7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ht="12.7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ht="12.7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ht="12.7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ht="12.7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ht="12.7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ht="12.7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ht="12.7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ht="12.7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ht="12.7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ht="12.7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ht="12.7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ht="12.7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ht="12.7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ht="12.7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ht="12.7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ht="12.7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ht="12.7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ht="12.7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ht="12.7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ht="12.7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ht="12.7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ht="12.7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ht="12.7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ht="12.7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ht="12.7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ht="12.7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ht="12.7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ht="12.7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ht="12.7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ht="12.7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ht="12.7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ht="12.7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ht="12.7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ht="12.7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ht="12.7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ht="12.7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ht="12.7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ht="12.7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ht="12.7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ht="12.7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ht="12.7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ht="12.7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ht="12.7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ht="12.7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ht="12.7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ht="12.7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ht="12.7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ht="12.7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ht="12.7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ht="12.7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ht="12.7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ht="12.7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ht="12.7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ht="12.7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ht="12.7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ht="12.7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ht="12.7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ht="12.7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ht="12.7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ht="12.7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ht="12.7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ht="12.7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ht="12.7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ht="12.7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ht="12.7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ht="12.7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ht="12.7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ht="12.7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ht="12.7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ht="12.7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ht="12.7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ht="12.75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ht="12.75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ht="12.75" customHeigh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ht="12.75" customHeight="1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ht="12.75" customHeight="1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ht="12.75" customHeight="1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ht="12.75" customHeight="1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 ht="12.75" customHeight="1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 ht="12.75" customHeight="1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2011-01-18T20:51:17Z</dcterms:created>
  <dc:creator>Plate Reader Access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