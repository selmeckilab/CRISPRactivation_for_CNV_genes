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 1 - Sheet1" sheetId="1" r:id="rId4"/>
    <sheet state="visible" name="Plate 2 - Sheet1" sheetId="2" r:id="rId5"/>
    <sheet state="visible" name="Plate 3 - Sheet1" sheetId="3" r:id="rId6"/>
  </sheets>
  <definedNames>
    <definedName name="MethodPointer1">1763923488</definedName>
    <definedName name="MethodPointer2">519</definedName>
  </definedNames>
  <calcPr/>
  <extLst>
    <ext uri="GoogleSheetsCustomDataVersion2">
      <go:sheetsCustomData xmlns:go="http://customooxmlschemas.google.com/" r:id="rId7" roundtripDataChecksum="++6Yz7TEuHUQpZ+n0pof2FAmWNXnKGksjo6f/pjPgic="/>
    </ext>
  </extLst>
</workbook>
</file>

<file path=xl/sharedStrings.xml><?xml version="1.0" encoding="utf-8"?>
<sst xmlns="http://schemas.openxmlformats.org/spreadsheetml/2006/main" count="457" uniqueCount="150">
  <si>
    <t>Software Version</t>
  </si>
  <si>
    <t>3.10.06</t>
  </si>
  <si>
    <t>Experiment File Path:</t>
  </si>
  <si>
    <t>C:\Users\Public\Documents\Experiments\Erika\2024_12_02_MIC_MCF_C3.xpt</t>
  </si>
  <si>
    <t>Protocol File Path:</t>
  </si>
  <si>
    <t>C:\Users\Public\Documents\Protocols\InitialOD.prt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</si>
  <si>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</si>
  <si>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</si>
  <si>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</si>
  <si>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</si>
  <si>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</si>
  <si>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</si>
  <si>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</si>
  <si>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</si>
  <si>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</si>
  <si>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</si>
  <si>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</si>
  <si>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</si>
  <si>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</si>
  <si>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</si>
  <si>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</si>
  <si>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</si>
  <si>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</si>
  <si>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</si>
  <si>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</si>
  <si>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</si>
  <si>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</si>
  <si>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</si>
  <si>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</si>
  <si>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</si>
  <si>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</si>
  <si>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</si>
  <si>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</si>
  <si>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</si>
  <si>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</si>
  <si>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</si>
  <si>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</si>
  <si>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</si>
  <si>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</si>
  <si>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</si>
  <si>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</si>
  <si>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</si>
  <si>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</si>
  <si>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</si>
  <si>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</si>
  <si>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</si>
  <si>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</si>
  <si>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</si>
  <si>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</si>
  <si>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</si>
  <si>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</si>
  <si>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</si>
  <si>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</si>
  <si>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</si>
  <si>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</si>
  <si>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</si>
  <si>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</si>
  <si>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</si>
  <si>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</si>
  <si>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</si>
  <si>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</si>
  <si>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</si>
  <si>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</si>
  <si>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</si>
  <si>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</si>
  <si>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</si>
  <si>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</si>
  <si>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</si>
  <si>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</si>
  <si>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</si>
  <si>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</si>
  <si>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</si>
  <si>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</si>
  <si>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</si>
  <si>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</si>
  <si>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</si>
  <si>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</si>
  <si>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</si>
  <si>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</si>
  <si>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</si>
  <si>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</si>
  <si>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</si>
  <si>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</si>
  <si>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</si>
  <si>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</si>
  <si>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</si>
  <si>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</si>
  <si>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</si>
  <si>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</si>
  <si>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</si>
  <si>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</si>
  <si>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</si>
  <si>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</si>
  <si>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</si>
  <si>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</si>
  <si>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</si>
  <si>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</si>
  <si>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</si>
  <si>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</si>
  <si>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</si>
  <si>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</si>
  <si>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</si>
  <si>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</si>
  <si>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</si>
  <si>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</si>
  <si>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</si>
  <si>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</si>
  <si>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</si>
  <si>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</si>
  <si>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</si>
  <si>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</si>
  <si>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</si>
  <si>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</si>
  <si>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</si>
  <si>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</si>
  <si>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</si>
  <si>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</si>
  <si>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</si>
  <si>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</si>
  <si>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</si>
  <si>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</si>
  <si>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</si>
  <si>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</si>
  <si>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</si>
  <si>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</si>
  <si>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</si>
  <si>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</si>
  <si>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</si>
  <si>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</si>
  <si>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</si>
  <si>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Results</t>
  </si>
  <si>
    <t>Actual Temperature:</t>
  </si>
  <si>
    <t>MCF</t>
  </si>
  <si>
    <t>C1</t>
  </si>
  <si>
    <t>C5</t>
  </si>
  <si>
    <t>C9</t>
  </si>
  <si>
    <t>C13</t>
  </si>
  <si>
    <t>C18</t>
  </si>
  <si>
    <t>C19</t>
  </si>
  <si>
    <t>C25</t>
  </si>
  <si>
    <t>C27</t>
  </si>
  <si>
    <t>no drug</t>
  </si>
  <si>
    <t>0.004 ug/ml</t>
  </si>
  <si>
    <t>0.008 ug/ml</t>
  </si>
  <si>
    <t>0.016 ug/ml</t>
  </si>
  <si>
    <t>0.032 ug/ml</t>
  </si>
  <si>
    <t>0.64 ug/ml</t>
  </si>
  <si>
    <t>0.128 ug/ml</t>
  </si>
  <si>
    <t>Plate 2</t>
  </si>
  <si>
    <t>Plate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</si>
</sst>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sz val="10.0"/>
      <color rgb="FF27413E"/>
      <name val="Arial"/>
    </font>
    <font>
      <sz val="7.0"/>
      <color rgb="FF000000"/>
      <name val="Arial"/>
    </font>
    <font>
      <color theme="1"/>
      <name val="Arial"/>
      <scheme val="minor"/>
    </font>
    <font>
      <color rgb="FF000000"/>
      <name val="Arial"/>
    </font>
    <font>
      <color rgb="FF27413E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A6CAF0"/>
        <bgColor rgb="FFA6CAF0"/>
      </patternFill>
    </fill>
    <fill>
      <patternFill patternType="solid">
        <fgColor rgb="FFE8F3FF"/>
        <bgColor rgb="FFE8F3FF"/>
      </patternFill>
    </fill>
    <fill>
      <patternFill patternType="solid">
        <fgColor rgb="FF247CBD"/>
        <bgColor rgb="FF247CBD"/>
      </patternFill>
    </fill>
    <fill>
      <patternFill patternType="solid">
        <fgColor rgb="FF3385C2"/>
        <bgColor rgb="FF3385C2"/>
      </patternFill>
    </fill>
    <fill>
      <patternFill patternType="solid">
        <fgColor rgb="FFD8E9F9"/>
        <bgColor rgb="FFD8E9F9"/>
      </patternFill>
    </fill>
    <fill>
      <patternFill patternType="solid">
        <fgColor rgb="FFC9E0F4"/>
        <bgColor rgb="FFC9E0F4"/>
      </patternFill>
    </fill>
    <fill>
      <patternFill patternType="solid">
        <fgColor rgb="FF5197CC"/>
        <bgColor rgb="FF5197CC"/>
      </patternFill>
    </fill>
    <fill>
      <patternFill patternType="solid">
        <fgColor rgb="FF60A0D1"/>
        <bgColor rgb="FF60A0D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9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/>
    </xf>
    <xf borderId="0" fillId="0" fontId="1" numFmtId="0" xfId="0" applyAlignment="1" applyFont="1">
      <alignment horizontal="right" shrinkToFit="0" vertical="bottom" wrapText="0"/>
    </xf>
    <xf borderId="0" fillId="0" fontId="2" numFmtId="0" xfId="0" applyFont="1"/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2.75"/>
    <col customWidth="1" min="3" max="29" width="8.63"/>
  </cols>
  <sheetData>
    <row r="1" ht="12.75" customHeight="1"/>
    <row r="2" ht="12.75" customHeight="1">
      <c r="A2" s="1" t="s">
        <v>0</v>
      </c>
      <c r="B2" s="1" t="s">
        <v>1</v>
      </c>
    </row>
    <row r="3" ht="12.75" customHeight="1"/>
    <row r="4" ht="12.75" customHeight="1">
      <c r="A4" s="1" t="s">
        <v>2</v>
      </c>
      <c r="B4" s="1" t="s">
        <v>3</v>
      </c>
    </row>
    <row r="5" ht="12.75" customHeight="1">
      <c r="A5" s="1" t="s">
        <v>4</v>
      </c>
      <c r="B5" s="1" t="s">
        <v>5</v>
      </c>
    </row>
    <row r="6" ht="12.75" customHeight="1">
      <c r="A6" s="1" t="s">
        <v>6</v>
      </c>
      <c r="B6" s="1" t="s">
        <v>7</v>
      </c>
    </row>
    <row r="7" ht="12.75" customHeight="1">
      <c r="A7" s="1" t="s">
        <v>8</v>
      </c>
      <c r="B7" s="2">
        <v>45994.0</v>
      </c>
    </row>
    <row r="8" ht="12.75" customHeight="1">
      <c r="A8" s="1" t="s">
        <v>9</v>
      </c>
      <c r="B8" s="3">
        <v>0.6027662037037037</v>
      </c>
    </row>
    <row r="9" ht="12.75" customHeight="1">
      <c r="A9" s="1" t="s">
        <v>10</v>
      </c>
      <c r="B9" s="1" t="s">
        <v>11</v>
      </c>
    </row>
    <row r="10" ht="12.75" customHeight="1">
      <c r="A10" s="1" t="s">
        <v>12</v>
      </c>
      <c r="B10" s="1">
        <v>1803065.0</v>
      </c>
    </row>
    <row r="11" ht="12.75" customHeight="1">
      <c r="A11" s="1" t="s">
        <v>13</v>
      </c>
      <c r="B11" s="1" t="s">
        <v>14</v>
      </c>
    </row>
    <row r="12" ht="12.75" customHeight="1"/>
    <row r="13" ht="12.75" customHeight="1">
      <c r="A13" s="4" t="s">
        <v>15</v>
      </c>
      <c r="B13" s="5"/>
    </row>
    <row r="14" ht="12.75" customHeight="1">
      <c r="A14" s="1" t="s">
        <v>16</v>
      </c>
      <c r="B14" s="1" t="s">
        <v>17</v>
      </c>
    </row>
    <row r="15" ht="12.75" customHeight="1">
      <c r="A15" s="1" t="s">
        <v>18</v>
      </c>
    </row>
    <row r="16" ht="12.75" customHeight="1">
      <c r="A16" s="1" t="s">
        <v>19</v>
      </c>
      <c r="B16" s="1" t="s">
        <v>20</v>
      </c>
    </row>
    <row r="17" ht="12.75" customHeight="1">
      <c r="B17" s="1" t="s">
        <v>21</v>
      </c>
    </row>
    <row r="18" ht="12.75" customHeight="1">
      <c r="B18" s="1" t="s">
        <v>22</v>
      </c>
    </row>
    <row r="19" ht="12.75" customHeight="1">
      <c r="B19" s="1" t="s">
        <v>23</v>
      </c>
    </row>
    <row r="20" ht="12.75" customHeight="1"/>
    <row r="21" ht="12.75" customHeight="1">
      <c r="A21" s="4" t="s">
        <v>24</v>
      </c>
      <c r="B21" s="5"/>
    </row>
    <row r="22" ht="12.75" customHeight="1"/>
    <row r="23" ht="12.75" customHeight="1"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</row>
    <row r="24" ht="12.75" customHeight="1"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</row>
    <row r="25" ht="12.75" customHeight="1"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</row>
    <row r="26" ht="12.75" customHeight="1"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</row>
    <row r="27" ht="12.75" customHeight="1"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</row>
    <row r="28" ht="12.75" customHeight="1"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</row>
    <row r="29" ht="12.75" customHeight="1"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</row>
    <row r="30" ht="12.75" customHeight="1"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</row>
    <row r="31" ht="12.75" customHeight="1"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</row>
    <row r="32" ht="12.75" customHeight="1"/>
    <row r="33" ht="12.75" customHeight="1">
      <c r="A33" s="4" t="s">
        <v>130</v>
      </c>
      <c r="B33" s="5"/>
    </row>
    <row r="34" ht="12.75" customHeight="1">
      <c r="A34" s="1" t="s">
        <v>131</v>
      </c>
      <c r="B34" s="1">
        <v>24.1</v>
      </c>
    </row>
    <row r="35" ht="12.75" customHeight="1"/>
    <row r="36" ht="12.75" customHeight="1"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</row>
    <row r="37" ht="12.75" customHeight="1">
      <c r="B37" s="7" t="s">
        <v>25</v>
      </c>
      <c r="C37" s="10">
        <v>0.105</v>
      </c>
      <c r="D37" s="10">
        <v>0.106</v>
      </c>
      <c r="E37" s="10">
        <v>0.113</v>
      </c>
      <c r="F37" s="10">
        <v>0.102</v>
      </c>
      <c r="G37" s="10">
        <v>0.098</v>
      </c>
      <c r="H37" s="10">
        <v>0.097</v>
      </c>
      <c r="I37" s="10">
        <v>0.099</v>
      </c>
      <c r="J37" s="10">
        <v>0.099</v>
      </c>
      <c r="K37" s="10">
        <v>0.098</v>
      </c>
      <c r="L37" s="10">
        <v>0.103</v>
      </c>
      <c r="M37" s="10">
        <v>0.106</v>
      </c>
      <c r="N37" s="10">
        <v>0.1</v>
      </c>
      <c r="O37" s="9">
        <v>600.0</v>
      </c>
      <c r="P37" s="11">
        <f>AVERAGE(C37:N37)</f>
        <v>0.1021666667</v>
      </c>
    </row>
    <row r="38" ht="12.75" customHeight="1">
      <c r="B38" s="7" t="s">
        <v>39</v>
      </c>
      <c r="C38" s="12">
        <v>1.16</v>
      </c>
      <c r="D38" s="12">
        <v>1.182</v>
      </c>
      <c r="E38" s="12">
        <v>1.182</v>
      </c>
      <c r="F38" s="12">
        <v>1.178</v>
      </c>
      <c r="G38" s="12">
        <v>1.161</v>
      </c>
      <c r="H38" s="12">
        <v>1.158</v>
      </c>
      <c r="I38" s="12">
        <v>1.203</v>
      </c>
      <c r="J38" s="12">
        <v>1.201</v>
      </c>
      <c r="K38" s="12">
        <v>1.204</v>
      </c>
      <c r="L38" s="12">
        <v>1.164</v>
      </c>
      <c r="M38" s="12">
        <v>1.186</v>
      </c>
      <c r="N38" s="12">
        <v>1.174</v>
      </c>
      <c r="O38" s="9">
        <v>600.0</v>
      </c>
    </row>
    <row r="39" ht="12.75" customHeight="1">
      <c r="B39" s="7" t="s">
        <v>52</v>
      </c>
      <c r="C39" s="12">
        <v>1.139</v>
      </c>
      <c r="D39" s="12">
        <v>1.171</v>
      </c>
      <c r="E39" s="12">
        <v>1.151</v>
      </c>
      <c r="F39" s="12">
        <v>1.15</v>
      </c>
      <c r="G39" s="12">
        <v>1.153</v>
      </c>
      <c r="H39" s="12">
        <v>1.146</v>
      </c>
      <c r="I39" s="12">
        <v>1.154</v>
      </c>
      <c r="J39" s="12">
        <v>1.151</v>
      </c>
      <c r="K39" s="12">
        <v>1.143</v>
      </c>
      <c r="L39" s="13">
        <v>1.108</v>
      </c>
      <c r="M39" s="12">
        <v>1.137</v>
      </c>
      <c r="N39" s="13">
        <v>1.118</v>
      </c>
      <c r="O39" s="9">
        <v>600.0</v>
      </c>
    </row>
    <row r="40" ht="12.75" customHeight="1">
      <c r="B40" s="7" t="s">
        <v>65</v>
      </c>
      <c r="C40" s="13">
        <v>1.117</v>
      </c>
      <c r="D40" s="12">
        <v>1.138</v>
      </c>
      <c r="E40" s="13">
        <v>1.115</v>
      </c>
      <c r="F40" s="13">
        <v>1.1</v>
      </c>
      <c r="G40" s="12">
        <v>1.129</v>
      </c>
      <c r="H40" s="13">
        <v>1.12</v>
      </c>
      <c r="I40" s="13">
        <v>1.098</v>
      </c>
      <c r="J40" s="13">
        <v>1.104</v>
      </c>
      <c r="K40" s="13">
        <v>1.089</v>
      </c>
      <c r="L40" s="13">
        <v>1.098</v>
      </c>
      <c r="M40" s="13">
        <v>1.093</v>
      </c>
      <c r="N40" s="13">
        <v>1.068</v>
      </c>
      <c r="O40" s="9">
        <v>600.0</v>
      </c>
    </row>
    <row r="41" ht="12.75" customHeight="1">
      <c r="B41" s="7" t="s">
        <v>78</v>
      </c>
      <c r="C41" s="14">
        <v>0.216</v>
      </c>
      <c r="D41" s="15">
        <v>0.276</v>
      </c>
      <c r="E41" s="14">
        <v>0.247</v>
      </c>
      <c r="F41" s="10">
        <v>0.147</v>
      </c>
      <c r="G41" s="10">
        <v>0.155</v>
      </c>
      <c r="H41" s="10">
        <v>0.151</v>
      </c>
      <c r="I41" s="10">
        <v>0.143</v>
      </c>
      <c r="J41" s="10">
        <v>0.138</v>
      </c>
      <c r="K41" s="10">
        <v>0.14</v>
      </c>
      <c r="L41" s="10">
        <v>0.142</v>
      </c>
      <c r="M41" s="10">
        <v>0.125</v>
      </c>
      <c r="N41" s="10">
        <v>0.124</v>
      </c>
      <c r="O41" s="9">
        <v>600.0</v>
      </c>
    </row>
    <row r="42" ht="12.75" customHeight="1">
      <c r="B42" s="7" t="s">
        <v>91</v>
      </c>
      <c r="C42" s="10">
        <v>0.107</v>
      </c>
      <c r="D42" s="10">
        <v>0.107</v>
      </c>
      <c r="E42" s="10">
        <v>0.107</v>
      </c>
      <c r="F42" s="10">
        <v>0.115</v>
      </c>
      <c r="G42" s="10">
        <v>0.118</v>
      </c>
      <c r="H42" s="10">
        <v>0.116</v>
      </c>
      <c r="I42" s="10">
        <v>0.114</v>
      </c>
      <c r="J42" s="10">
        <v>0.114</v>
      </c>
      <c r="K42" s="10">
        <v>0.119</v>
      </c>
      <c r="L42" s="10">
        <v>0.108</v>
      </c>
      <c r="M42" s="10">
        <v>0.101</v>
      </c>
      <c r="N42" s="10">
        <v>0.103</v>
      </c>
      <c r="O42" s="9">
        <v>600.0</v>
      </c>
    </row>
    <row r="43" ht="12.75" customHeight="1">
      <c r="B43" s="7" t="s">
        <v>104</v>
      </c>
      <c r="C43" s="10">
        <v>0.113</v>
      </c>
      <c r="D43" s="10">
        <v>0.11</v>
      </c>
      <c r="E43" s="10">
        <v>0.111</v>
      </c>
      <c r="F43" s="10">
        <v>0.108</v>
      </c>
      <c r="G43" s="10">
        <v>0.113</v>
      </c>
      <c r="H43" s="10">
        <v>0.113</v>
      </c>
      <c r="I43" s="10">
        <v>0.112</v>
      </c>
      <c r="J43" s="10">
        <v>0.111</v>
      </c>
      <c r="K43" s="10">
        <v>0.11</v>
      </c>
      <c r="L43" s="10">
        <v>0.102</v>
      </c>
      <c r="M43" s="10">
        <v>0.099</v>
      </c>
      <c r="N43" s="10">
        <v>0.1</v>
      </c>
      <c r="O43" s="9">
        <v>600.0</v>
      </c>
    </row>
    <row r="44" ht="12.75" customHeight="1">
      <c r="B44" s="7" t="s">
        <v>117</v>
      </c>
      <c r="C44" s="10">
        <v>0.12</v>
      </c>
      <c r="D44" s="10">
        <v>0.119</v>
      </c>
      <c r="E44" s="10">
        <v>0.12</v>
      </c>
      <c r="F44" s="10">
        <v>0.102</v>
      </c>
      <c r="G44" s="10">
        <v>0.101</v>
      </c>
      <c r="H44" s="10">
        <v>0.102</v>
      </c>
      <c r="I44" s="10">
        <v>0.102</v>
      </c>
      <c r="J44" s="10">
        <v>0.1</v>
      </c>
      <c r="K44" s="10">
        <v>0.099</v>
      </c>
      <c r="L44" s="10">
        <v>0.103</v>
      </c>
      <c r="M44" s="10">
        <v>0.101</v>
      </c>
      <c r="N44" s="10">
        <v>0.102</v>
      </c>
      <c r="O44" s="9">
        <v>600.0</v>
      </c>
    </row>
    <row r="45" ht="12.75" customHeight="1"/>
    <row r="46" ht="12.75" customHeight="1">
      <c r="C46" s="11">
        <f t="shared" ref="C46:N46" si="1">C38-$P$37</f>
        <v>1.057833333</v>
      </c>
      <c r="D46" s="11">
        <f t="shared" si="1"/>
        <v>1.079833333</v>
      </c>
      <c r="E46" s="11">
        <f t="shared" si="1"/>
        <v>1.079833333</v>
      </c>
      <c r="F46" s="11">
        <f t="shared" si="1"/>
        <v>1.075833333</v>
      </c>
      <c r="G46" s="11">
        <f t="shared" si="1"/>
        <v>1.058833333</v>
      </c>
      <c r="H46" s="11">
        <f t="shared" si="1"/>
        <v>1.055833333</v>
      </c>
      <c r="I46" s="11">
        <f t="shared" si="1"/>
        <v>1.100833333</v>
      </c>
      <c r="J46" s="11">
        <f t="shared" si="1"/>
        <v>1.098833333</v>
      </c>
      <c r="K46" s="11">
        <f t="shared" si="1"/>
        <v>1.101833333</v>
      </c>
      <c r="L46" s="11">
        <f t="shared" si="1"/>
        <v>1.061833333</v>
      </c>
      <c r="M46" s="11">
        <f t="shared" si="1"/>
        <v>1.083833333</v>
      </c>
      <c r="N46" s="11">
        <f t="shared" si="1"/>
        <v>1.071833333</v>
      </c>
    </row>
    <row r="47" ht="12.75" customHeight="1">
      <c r="C47" s="11">
        <f t="shared" ref="C47:N47" si="2">C39-$P$37</f>
        <v>1.036833333</v>
      </c>
      <c r="D47" s="11">
        <f t="shared" si="2"/>
        <v>1.068833333</v>
      </c>
      <c r="E47" s="11">
        <f t="shared" si="2"/>
        <v>1.048833333</v>
      </c>
      <c r="F47" s="11">
        <f t="shared" si="2"/>
        <v>1.047833333</v>
      </c>
      <c r="G47" s="11">
        <f t="shared" si="2"/>
        <v>1.050833333</v>
      </c>
      <c r="H47" s="11">
        <f t="shared" si="2"/>
        <v>1.043833333</v>
      </c>
      <c r="I47" s="11">
        <f t="shared" si="2"/>
        <v>1.051833333</v>
      </c>
      <c r="J47" s="11">
        <f t="shared" si="2"/>
        <v>1.048833333</v>
      </c>
      <c r="K47" s="11">
        <f t="shared" si="2"/>
        <v>1.040833333</v>
      </c>
      <c r="L47" s="11">
        <f t="shared" si="2"/>
        <v>1.005833333</v>
      </c>
      <c r="M47" s="11">
        <f t="shared" si="2"/>
        <v>1.034833333</v>
      </c>
      <c r="N47" s="11">
        <f t="shared" si="2"/>
        <v>1.015833333</v>
      </c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 ht="12.75" customHeight="1">
      <c r="C48" s="11">
        <f t="shared" ref="C48:N48" si="3">C40-$P$37</f>
        <v>1.014833333</v>
      </c>
      <c r="D48" s="11">
        <f t="shared" si="3"/>
        <v>1.035833333</v>
      </c>
      <c r="E48" s="11">
        <f t="shared" si="3"/>
        <v>1.012833333</v>
      </c>
      <c r="F48" s="11">
        <f t="shared" si="3"/>
        <v>0.9978333333</v>
      </c>
      <c r="G48" s="11">
        <f t="shared" si="3"/>
        <v>1.026833333</v>
      </c>
      <c r="H48" s="11">
        <f t="shared" si="3"/>
        <v>1.017833333</v>
      </c>
      <c r="I48" s="11">
        <f t="shared" si="3"/>
        <v>0.9958333333</v>
      </c>
      <c r="J48" s="11">
        <f t="shared" si="3"/>
        <v>1.001833333</v>
      </c>
      <c r="K48" s="11">
        <f t="shared" si="3"/>
        <v>0.9868333333</v>
      </c>
      <c r="L48" s="11">
        <f t="shared" si="3"/>
        <v>0.9958333333</v>
      </c>
      <c r="M48" s="11">
        <f t="shared" si="3"/>
        <v>0.9908333333</v>
      </c>
      <c r="N48" s="11">
        <f t="shared" si="3"/>
        <v>0.9658333333</v>
      </c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 ht="12.75" customHeight="1">
      <c r="C49" s="11">
        <f t="shared" ref="C49:N49" si="4">C41-$P$37</f>
        <v>0.1138333333</v>
      </c>
      <c r="D49" s="11">
        <f t="shared" si="4"/>
        <v>0.1738333333</v>
      </c>
      <c r="E49" s="11">
        <f t="shared" si="4"/>
        <v>0.1448333333</v>
      </c>
      <c r="F49" s="11">
        <f t="shared" si="4"/>
        <v>0.04483333333</v>
      </c>
      <c r="G49" s="11">
        <f t="shared" si="4"/>
        <v>0.05283333333</v>
      </c>
      <c r="H49" s="11">
        <f t="shared" si="4"/>
        <v>0.04883333333</v>
      </c>
      <c r="I49" s="11">
        <f t="shared" si="4"/>
        <v>0.04083333333</v>
      </c>
      <c r="J49" s="11">
        <f t="shared" si="4"/>
        <v>0.03583333333</v>
      </c>
      <c r="K49" s="11">
        <f t="shared" si="4"/>
        <v>0.03783333333</v>
      </c>
      <c r="L49" s="11">
        <f t="shared" si="4"/>
        <v>0.03983333333</v>
      </c>
      <c r="M49" s="11">
        <f t="shared" si="4"/>
        <v>0.02283333333</v>
      </c>
      <c r="N49" s="11">
        <f t="shared" si="4"/>
        <v>0.02183333333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ht="12.75" customHeight="1">
      <c r="C50" s="11">
        <f t="shared" ref="C50:N50" si="5">C42-$P$37</f>
        <v>0.004833333333</v>
      </c>
      <c r="D50" s="11">
        <f t="shared" si="5"/>
        <v>0.004833333333</v>
      </c>
      <c r="E50" s="11">
        <f t="shared" si="5"/>
        <v>0.004833333333</v>
      </c>
      <c r="F50" s="11">
        <f t="shared" si="5"/>
        <v>0.01283333333</v>
      </c>
      <c r="G50" s="11">
        <f t="shared" si="5"/>
        <v>0.01583333333</v>
      </c>
      <c r="H50" s="11">
        <f t="shared" si="5"/>
        <v>0.01383333333</v>
      </c>
      <c r="I50" s="11">
        <f t="shared" si="5"/>
        <v>0.01183333333</v>
      </c>
      <c r="J50" s="11">
        <f t="shared" si="5"/>
        <v>0.01183333333</v>
      </c>
      <c r="K50" s="11">
        <f t="shared" si="5"/>
        <v>0.01683333333</v>
      </c>
      <c r="L50" s="11">
        <f t="shared" si="5"/>
        <v>0.005833333333</v>
      </c>
      <c r="M50" s="11">
        <f t="shared" si="5"/>
        <v>-0.001166666667</v>
      </c>
      <c r="N50" s="11">
        <f t="shared" si="5"/>
        <v>0.0008333333333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 ht="12.75" customHeight="1">
      <c r="C51" s="11">
        <f t="shared" ref="C51:N51" si="6">C43-$P$37</f>
        <v>0.01083333333</v>
      </c>
      <c r="D51" s="11">
        <f t="shared" si="6"/>
        <v>0.007833333333</v>
      </c>
      <c r="E51" s="11">
        <f t="shared" si="6"/>
        <v>0.008833333333</v>
      </c>
      <c r="F51" s="11">
        <f t="shared" si="6"/>
        <v>0.005833333333</v>
      </c>
      <c r="G51" s="11">
        <f t="shared" si="6"/>
        <v>0.01083333333</v>
      </c>
      <c r="H51" s="11">
        <f t="shared" si="6"/>
        <v>0.01083333333</v>
      </c>
      <c r="I51" s="11">
        <f t="shared" si="6"/>
        <v>0.009833333333</v>
      </c>
      <c r="J51" s="11">
        <f t="shared" si="6"/>
        <v>0.008833333333</v>
      </c>
      <c r="K51" s="11">
        <f t="shared" si="6"/>
        <v>0.007833333333</v>
      </c>
      <c r="L51" s="11">
        <f t="shared" si="6"/>
        <v>-0.0001666666667</v>
      </c>
      <c r="M51" s="11">
        <f t="shared" si="6"/>
        <v>-0.003166666667</v>
      </c>
      <c r="N51" s="11">
        <f t="shared" si="6"/>
        <v>-0.002166666667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ht="12.75" customHeight="1">
      <c r="C52" s="11">
        <f t="shared" ref="C52:N52" si="7">C44-$P$37</f>
        <v>0.01783333333</v>
      </c>
      <c r="D52" s="11">
        <f t="shared" si="7"/>
        <v>0.01683333333</v>
      </c>
      <c r="E52" s="11">
        <f t="shared" si="7"/>
        <v>0.01783333333</v>
      </c>
      <c r="F52" s="11">
        <f t="shared" si="7"/>
        <v>-0.0001666666667</v>
      </c>
      <c r="G52" s="11">
        <f t="shared" si="7"/>
        <v>-0.001166666667</v>
      </c>
      <c r="H52" s="11">
        <f t="shared" si="7"/>
        <v>-0.0001666666667</v>
      </c>
      <c r="I52" s="11">
        <f t="shared" si="7"/>
        <v>-0.0001666666667</v>
      </c>
      <c r="J52" s="11">
        <f t="shared" si="7"/>
        <v>-0.002166666667</v>
      </c>
      <c r="K52" s="11">
        <f t="shared" si="7"/>
        <v>-0.003166666667</v>
      </c>
      <c r="L52" s="11">
        <f t="shared" si="7"/>
        <v>0.0008333333333</v>
      </c>
      <c r="M52" s="11">
        <f t="shared" si="7"/>
        <v>-0.001166666667</v>
      </c>
      <c r="N52" s="11">
        <f t="shared" si="7"/>
        <v>-0.0001666666667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ht="12.75" customHeight="1"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ht="12.75" customHeight="1">
      <c r="C54" s="11">
        <f t="shared" ref="C54:C60" si="8">C46/$C$46</f>
        <v>1</v>
      </c>
      <c r="D54" s="11">
        <f t="shared" ref="D54:D60" si="9">D46/$D$46</f>
        <v>1</v>
      </c>
      <c r="E54" s="11">
        <f t="shared" ref="E54:E60" si="10">E46/$E$46</f>
        <v>1</v>
      </c>
      <c r="F54" s="11">
        <f t="shared" ref="F54:F60" si="11">F46/$F$46</f>
        <v>1</v>
      </c>
      <c r="G54" s="11">
        <f t="shared" ref="G54:G60" si="12">G46/$G$46</f>
        <v>1</v>
      </c>
      <c r="H54" s="11">
        <f t="shared" ref="H54:H60" si="13">H46/$H$46</f>
        <v>1</v>
      </c>
      <c r="I54" s="11">
        <f t="shared" ref="I54:I60" si="14">I46/$I$46</f>
        <v>1</v>
      </c>
      <c r="J54" s="11">
        <f t="shared" ref="J54:J60" si="15">J46/$J$46</f>
        <v>1</v>
      </c>
      <c r="K54" s="11">
        <f t="shared" ref="K54:K60" si="16">K46/$K$46</f>
        <v>1</v>
      </c>
      <c r="L54" s="11">
        <f t="shared" ref="L54:L60" si="17">L46/$L$46</f>
        <v>1</v>
      </c>
      <c r="M54" s="11">
        <f t="shared" ref="M54:M60" si="18">M46/$M$46</f>
        <v>1</v>
      </c>
      <c r="N54" s="11">
        <f t="shared" ref="N54:N60" si="19">N46/$N$46</f>
        <v>1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ht="12.75" customHeight="1">
      <c r="C55" s="11">
        <f t="shared" si="8"/>
        <v>0.9801481015</v>
      </c>
      <c r="D55" s="11">
        <f t="shared" si="9"/>
        <v>0.9898132428</v>
      </c>
      <c r="E55" s="11">
        <f t="shared" si="10"/>
        <v>0.971291866</v>
      </c>
      <c r="F55" s="11">
        <f t="shared" si="11"/>
        <v>0.9739736638</v>
      </c>
      <c r="G55" s="11">
        <f t="shared" si="12"/>
        <v>0.9924445144</v>
      </c>
      <c r="H55" s="11">
        <f t="shared" si="13"/>
        <v>0.9886345699</v>
      </c>
      <c r="I55" s="11">
        <f t="shared" si="14"/>
        <v>0.9554882665</v>
      </c>
      <c r="J55" s="11">
        <f t="shared" si="15"/>
        <v>0.954497194</v>
      </c>
      <c r="K55" s="11">
        <f t="shared" si="16"/>
        <v>0.944637725</v>
      </c>
      <c r="L55" s="11">
        <f t="shared" si="17"/>
        <v>0.9472610265</v>
      </c>
      <c r="M55" s="11">
        <f t="shared" si="18"/>
        <v>0.9547900969</v>
      </c>
      <c r="N55" s="11">
        <f t="shared" si="19"/>
        <v>0.9477530711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ht="12.75" customHeight="1">
      <c r="C56" s="11">
        <f t="shared" si="8"/>
        <v>0.9593508744</v>
      </c>
      <c r="D56" s="11">
        <f t="shared" si="9"/>
        <v>0.9592529711</v>
      </c>
      <c r="E56" s="11">
        <f t="shared" si="10"/>
        <v>0.9379533879</v>
      </c>
      <c r="F56" s="11">
        <f t="shared" si="11"/>
        <v>0.9274980635</v>
      </c>
      <c r="G56" s="11">
        <f t="shared" si="12"/>
        <v>0.9697780576</v>
      </c>
      <c r="H56" s="11">
        <f t="shared" si="13"/>
        <v>0.9640094712</v>
      </c>
      <c r="I56" s="11">
        <f t="shared" si="14"/>
        <v>0.9046177139</v>
      </c>
      <c r="J56" s="11">
        <f t="shared" si="15"/>
        <v>0.9117245563</v>
      </c>
      <c r="K56" s="11">
        <f t="shared" si="16"/>
        <v>0.895628498</v>
      </c>
      <c r="L56" s="11">
        <f t="shared" si="17"/>
        <v>0.9378433527</v>
      </c>
      <c r="M56" s="11">
        <f t="shared" si="18"/>
        <v>0.9141934492</v>
      </c>
      <c r="N56" s="11">
        <f t="shared" si="19"/>
        <v>0.9011040274</v>
      </c>
      <c r="O56" s="16"/>
      <c r="P56" s="17" t="s">
        <v>132</v>
      </c>
      <c r="Q56" s="18">
        <v>2868.0</v>
      </c>
      <c r="R56" s="19" t="s">
        <v>133</v>
      </c>
      <c r="S56" s="19" t="s">
        <v>134</v>
      </c>
      <c r="T56" s="18">
        <v>2875.0</v>
      </c>
      <c r="U56" s="19" t="s">
        <v>135</v>
      </c>
      <c r="V56" s="19" t="s">
        <v>136</v>
      </c>
      <c r="W56" s="18">
        <v>2876.0</v>
      </c>
      <c r="X56" s="19" t="s">
        <v>137</v>
      </c>
      <c r="Y56" s="19" t="s">
        <v>138</v>
      </c>
      <c r="Z56" s="18">
        <v>5192.0</v>
      </c>
      <c r="AA56" s="19" t="s">
        <v>139</v>
      </c>
      <c r="AB56" s="19" t="s">
        <v>140</v>
      </c>
      <c r="AC56" s="20"/>
    </row>
    <row r="57" ht="12.75" customHeight="1">
      <c r="C57" s="11">
        <f t="shared" si="8"/>
        <v>0.1076098944</v>
      </c>
      <c r="D57" s="11">
        <f t="shared" si="9"/>
        <v>0.160981633</v>
      </c>
      <c r="E57" s="11">
        <f t="shared" si="10"/>
        <v>0.1341256367</v>
      </c>
      <c r="F57" s="11">
        <f t="shared" si="11"/>
        <v>0.04167312161</v>
      </c>
      <c r="G57" s="11">
        <f t="shared" si="12"/>
        <v>0.04989768613</v>
      </c>
      <c r="H57" s="11">
        <f t="shared" si="13"/>
        <v>0.04625098658</v>
      </c>
      <c r="I57" s="11">
        <f t="shared" si="14"/>
        <v>0.03709311128</v>
      </c>
      <c r="J57" s="11">
        <f t="shared" si="15"/>
        <v>0.0326103443</v>
      </c>
      <c r="K57" s="11">
        <f t="shared" si="16"/>
        <v>0.03433671154</v>
      </c>
      <c r="L57" s="11">
        <f t="shared" si="17"/>
        <v>0.03751373411</v>
      </c>
      <c r="M57" s="11">
        <f t="shared" si="18"/>
        <v>0.02106719975</v>
      </c>
      <c r="N57" s="11">
        <f t="shared" si="19"/>
        <v>0.02037008241</v>
      </c>
      <c r="O57" s="16"/>
      <c r="P57" s="17" t="s">
        <v>141</v>
      </c>
      <c r="Q57" s="21">
        <v>1.0</v>
      </c>
      <c r="R57" s="21">
        <v>1.0</v>
      </c>
      <c r="S57" s="21">
        <v>1.0</v>
      </c>
      <c r="T57" s="21">
        <v>1.0</v>
      </c>
      <c r="U57" s="21">
        <v>1.0</v>
      </c>
      <c r="V57" s="21">
        <v>1.0</v>
      </c>
      <c r="W57" s="21">
        <v>1.0</v>
      </c>
      <c r="X57" s="21">
        <v>1.0</v>
      </c>
      <c r="Y57" s="21">
        <v>1.0</v>
      </c>
      <c r="Z57" s="21">
        <v>1.0</v>
      </c>
      <c r="AA57" s="21">
        <v>1.0</v>
      </c>
      <c r="AB57" s="21">
        <v>1.0</v>
      </c>
    </row>
    <row r="58" ht="12.75" customHeight="1">
      <c r="C58" s="11">
        <f t="shared" si="8"/>
        <v>0.004569087758</v>
      </c>
      <c r="D58" s="11">
        <f t="shared" si="9"/>
        <v>0.004475999383</v>
      </c>
      <c r="E58" s="11">
        <f t="shared" si="10"/>
        <v>0.004475999383</v>
      </c>
      <c r="F58" s="11">
        <f t="shared" si="11"/>
        <v>0.01192873741</v>
      </c>
      <c r="G58" s="11">
        <f t="shared" si="12"/>
        <v>0.01495356524</v>
      </c>
      <c r="H58" s="11">
        <f t="shared" si="13"/>
        <v>0.01310181531</v>
      </c>
      <c r="I58" s="11">
        <f t="shared" si="14"/>
        <v>0.01074943225</v>
      </c>
      <c r="J58" s="11">
        <f t="shared" si="15"/>
        <v>0.01076899742</v>
      </c>
      <c r="K58" s="11">
        <f t="shared" si="16"/>
        <v>0.01527756769</v>
      </c>
      <c r="L58" s="11">
        <f t="shared" si="17"/>
        <v>0.00549364307</v>
      </c>
      <c r="M58" s="11">
        <f t="shared" si="18"/>
        <v>-0.001076426265</v>
      </c>
      <c r="N58" s="11">
        <f t="shared" si="19"/>
        <v>0.0007774840616</v>
      </c>
      <c r="O58" s="16"/>
      <c r="P58" s="17" t="s">
        <v>142</v>
      </c>
      <c r="Q58" s="21">
        <v>0.8892863477511135</v>
      </c>
      <c r="R58" s="21">
        <v>0.8930367625858953</v>
      </c>
      <c r="S58" s="21">
        <v>0.8996093129304222</v>
      </c>
      <c r="T58" s="21">
        <v>0.969276119965305</v>
      </c>
      <c r="U58" s="21">
        <v>0.9768589132268964</v>
      </c>
      <c r="V58" s="21">
        <v>0.9778935584397083</v>
      </c>
      <c r="W58" s="21">
        <v>0.9520431443793674</v>
      </c>
      <c r="X58" s="21">
        <v>0.9553945397943627</v>
      </c>
      <c r="Y58" s="21">
        <v>0.9510128456582758</v>
      </c>
      <c r="Z58" s="21">
        <v>0.9513729238071097</v>
      </c>
      <c r="AA58" s="21">
        <v>0.9560282666213356</v>
      </c>
      <c r="AB58" s="21">
        <v>0.9503559792396574</v>
      </c>
    </row>
    <row r="59" ht="12.75" customHeight="1">
      <c r="C59" s="11">
        <f t="shared" si="8"/>
        <v>0.01024105877</v>
      </c>
      <c r="D59" s="11">
        <f t="shared" si="9"/>
        <v>0.007254205896</v>
      </c>
      <c r="E59" s="11">
        <f t="shared" si="10"/>
        <v>0.008180274734</v>
      </c>
      <c r="F59" s="11">
        <f t="shared" si="11"/>
        <v>0.005422153369</v>
      </c>
      <c r="G59" s="11">
        <f t="shared" si="12"/>
        <v>0.01023138675</v>
      </c>
      <c r="H59" s="11">
        <f t="shared" si="13"/>
        <v>0.01026045777</v>
      </c>
      <c r="I59" s="11">
        <f t="shared" si="14"/>
        <v>0.008932626798</v>
      </c>
      <c r="J59" s="11">
        <f t="shared" si="15"/>
        <v>0.008038829061</v>
      </c>
      <c r="K59" s="11">
        <f t="shared" si="16"/>
        <v>0.007109363183</v>
      </c>
      <c r="L59" s="11">
        <f t="shared" si="17"/>
        <v>-0.0001569612306</v>
      </c>
      <c r="M59" s="11">
        <f t="shared" si="18"/>
        <v>-0.002921728433</v>
      </c>
      <c r="N59" s="11">
        <f t="shared" si="19"/>
        <v>-0.00202145856</v>
      </c>
      <c r="O59" s="16"/>
      <c r="P59" s="17" t="s">
        <v>143</v>
      </c>
      <c r="Q59" s="21">
        <v>0.8662972485189714</v>
      </c>
      <c r="R59" s="21">
        <v>0.8680913733475295</v>
      </c>
      <c r="S59" s="21">
        <v>0.8706975626086996</v>
      </c>
      <c r="T59" s="21">
        <v>0.9346390191650182</v>
      </c>
      <c r="U59" s="21">
        <v>0.9519683435271635</v>
      </c>
      <c r="V59" s="21">
        <v>0.9519276825578235</v>
      </c>
      <c r="W59" s="21">
        <v>0.9013857571863069</v>
      </c>
      <c r="X59" s="21">
        <v>0.895157686301553</v>
      </c>
      <c r="Y59" s="21">
        <v>0.8981893389922176</v>
      </c>
      <c r="Z59" s="21">
        <v>0.9350082926856085</v>
      </c>
      <c r="AA59" s="21">
        <v>0.9166639777889936</v>
      </c>
      <c r="AB59" s="21">
        <v>0.9128314643317745</v>
      </c>
    </row>
    <row r="60" ht="12.75" customHeight="1">
      <c r="C60" s="11">
        <f t="shared" si="8"/>
        <v>0.01685835828</v>
      </c>
      <c r="D60" s="11">
        <f t="shared" si="9"/>
        <v>0.01558882544</v>
      </c>
      <c r="E60" s="11">
        <f t="shared" si="10"/>
        <v>0.01651489427</v>
      </c>
      <c r="F60" s="11">
        <f t="shared" si="11"/>
        <v>-0.0001549186677</v>
      </c>
      <c r="G60" s="11">
        <f t="shared" si="12"/>
        <v>-0.00110184165</v>
      </c>
      <c r="H60" s="11">
        <f t="shared" si="13"/>
        <v>-0.0001578531965</v>
      </c>
      <c r="I60" s="11">
        <f t="shared" si="14"/>
        <v>-0.0001514004542</v>
      </c>
      <c r="J60" s="11">
        <f t="shared" si="15"/>
        <v>-0.00197178826</v>
      </c>
      <c r="K60" s="11">
        <f t="shared" si="16"/>
        <v>-0.002873997882</v>
      </c>
      <c r="L60" s="11">
        <f t="shared" si="17"/>
        <v>0.0007848061529</v>
      </c>
      <c r="M60" s="11">
        <f t="shared" si="18"/>
        <v>-0.001076426265</v>
      </c>
      <c r="N60" s="11">
        <f t="shared" si="19"/>
        <v>-0.0001554968123</v>
      </c>
      <c r="O60" s="16"/>
      <c r="P60" s="17" t="s">
        <v>144</v>
      </c>
      <c r="Q60" s="21">
        <v>0.0768543819674473</v>
      </c>
      <c r="R60" s="21">
        <v>0.11572109757781186</v>
      </c>
      <c r="S60" s="21">
        <v>0.1177074458885977</v>
      </c>
      <c r="T60" s="21">
        <v>0.040926980756271346</v>
      </c>
      <c r="U60" s="21">
        <v>0.04215678118913463</v>
      </c>
      <c r="V60" s="21">
        <v>0.04073500755017522</v>
      </c>
      <c r="W60" s="21">
        <v>0.034384618645877156</v>
      </c>
      <c r="X60" s="21">
        <v>0.031018981885958877</v>
      </c>
      <c r="Y60" s="21">
        <v>0.03143609338433256</v>
      </c>
      <c r="Z60" s="21">
        <v>0.0370506989968171</v>
      </c>
      <c r="AA60" s="21">
        <v>0.02790440693462526</v>
      </c>
      <c r="AB60" s="21">
        <v>0.025985355981811398</v>
      </c>
    </row>
    <row r="61" ht="12.75" customHeight="1">
      <c r="O61" s="16"/>
      <c r="P61" s="17" t="s">
        <v>145</v>
      </c>
      <c r="Q61" s="21">
        <v>0.010352412939114743</v>
      </c>
      <c r="R61" s="21">
        <v>0.010235452991306272</v>
      </c>
      <c r="S61" s="21">
        <v>0.010105726108511903</v>
      </c>
      <c r="T61" s="21">
        <v>0.0104785437347073</v>
      </c>
      <c r="U61" s="21">
        <v>0.01399529520935233</v>
      </c>
      <c r="V61" s="21">
        <v>0.00976301277198842</v>
      </c>
      <c r="W61" s="21">
        <v>0.010991190025257823</v>
      </c>
      <c r="X61" s="21">
        <v>0.009470692093929117</v>
      </c>
      <c r="Y61" s="21">
        <v>0.011328141838775103</v>
      </c>
      <c r="Z61" s="21">
        <v>0.00854808895509426</v>
      </c>
      <c r="AA61" s="21">
        <v>0.00483952328505803</v>
      </c>
      <c r="AB61" s="21">
        <v>0.0027127439285065023</v>
      </c>
    </row>
    <row r="62" ht="12.75" customHeight="1"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16"/>
      <c r="P62" s="17" t="s">
        <v>146</v>
      </c>
      <c r="Q62" s="21">
        <v>0.014759782486662478</v>
      </c>
      <c r="R62" s="21">
        <v>0.014832649936164453</v>
      </c>
      <c r="S62" s="21">
        <v>0.013275762566417937</v>
      </c>
      <c r="T62" s="21">
        <v>0.008146286803552243</v>
      </c>
      <c r="U62" s="21">
        <v>0.0115871048700045</v>
      </c>
      <c r="V62" s="21">
        <v>0.010083776713471163</v>
      </c>
      <c r="W62" s="21">
        <v>0.008598899479945377</v>
      </c>
      <c r="X62" s="21">
        <v>0.008269651183555047</v>
      </c>
      <c r="Y62" s="21">
        <v>0.007702540401435881</v>
      </c>
      <c r="Z62" s="21">
        <v>0.006963036590167571</v>
      </c>
      <c r="AA62" s="21">
        <v>0.0017588382804729914</v>
      </c>
      <c r="AB62" s="21">
        <v>2.2742179204994473E-4</v>
      </c>
    </row>
    <row r="63" ht="12.75" customHeight="1">
      <c r="C63" s="16">
        <f>AVERAGE(C54,'Plate 2 - Sheet1'!C54,'Plate 3 - Sheet1'!C54)</f>
        <v>1</v>
      </c>
      <c r="D63" s="16">
        <f>AVERAGE(D54,'Plate 2 - Sheet1'!D54,'Plate 3 - Sheet1'!D54)</f>
        <v>1</v>
      </c>
      <c r="E63" s="16">
        <f>AVERAGE(E54,'Plate 2 - Sheet1'!E54,'Plate 3 - Sheet1'!E54)</f>
        <v>1</v>
      </c>
      <c r="F63" s="16">
        <f>AVERAGE(F54,'Plate 2 - Sheet1'!F54,'Plate 3 - Sheet1'!F54)</f>
        <v>1</v>
      </c>
      <c r="G63" s="16">
        <f>AVERAGE(G54,'Plate 2 - Sheet1'!G54,'Plate 3 - Sheet1'!G54)</f>
        <v>1</v>
      </c>
      <c r="H63" s="16">
        <f>AVERAGE(H54,'Plate 2 - Sheet1'!H54,'Plate 3 - Sheet1'!H54)</f>
        <v>1</v>
      </c>
      <c r="I63" s="16">
        <f>AVERAGE(I54,'Plate 2 - Sheet1'!I54,'Plate 3 - Sheet1'!I54)</f>
        <v>1</v>
      </c>
      <c r="J63" s="16">
        <f>AVERAGE(J54,'Plate 2 - Sheet1'!J54,'Plate 3 - Sheet1'!J54)</f>
        <v>1</v>
      </c>
      <c r="K63" s="16">
        <f>AVERAGE(K54,'Plate 2 - Sheet1'!K54,'Plate 3 - Sheet1'!K54)</f>
        <v>1</v>
      </c>
      <c r="L63" s="16">
        <f>AVERAGE(L54,'Plate 2 - Sheet1'!L54,'Plate 3 - Sheet1'!L54)</f>
        <v>1</v>
      </c>
      <c r="M63" s="16">
        <f>AVERAGE(M54,'Plate 2 - Sheet1'!M54,'Plate 3 - Sheet1'!M54)</f>
        <v>1</v>
      </c>
      <c r="N63" s="16">
        <f>AVERAGE(N54,'Plate 2 - Sheet1'!N54,'Plate 3 - Sheet1'!N54)</f>
        <v>1</v>
      </c>
      <c r="O63" s="16"/>
      <c r="P63" s="17" t="s">
        <v>147</v>
      </c>
      <c r="Q63" s="21">
        <v>0.022905557241756247</v>
      </c>
      <c r="R63" s="21">
        <v>0.01871539246598934</v>
      </c>
      <c r="S63" s="21">
        <v>0.020465644152316314</v>
      </c>
      <c r="T63" s="21">
        <v>0.004538662187566377</v>
      </c>
      <c r="U63" s="21">
        <v>0.002653714177830438</v>
      </c>
      <c r="V63" s="21">
        <v>0.004230858363258439</v>
      </c>
      <c r="W63" s="21">
        <v>0.001113578522010528</v>
      </c>
      <c r="X63" s="21">
        <v>0.001095706724197683</v>
      </c>
      <c r="Y63" s="21">
        <v>2.127514604861974E-4</v>
      </c>
      <c r="Z63" s="21">
        <v>0.0026948227112255276</v>
      </c>
      <c r="AA63" s="21">
        <v>0.001152459267765398</v>
      </c>
      <c r="AB63" s="21">
        <v>0.0024054283819439554</v>
      </c>
    </row>
    <row r="64" ht="12.75" customHeight="1">
      <c r="C64" s="16">
        <f>AVERAGE(C55,'Plate 2 - Sheet1'!C55,'Plate 3 - Sheet1'!C55)</f>
        <v>0.8892863478</v>
      </c>
      <c r="D64" s="16">
        <f>AVERAGE(D55,'Plate 2 - Sheet1'!D55,'Plate 3 - Sheet1'!D55)</f>
        <v>0.8930367626</v>
      </c>
      <c r="E64" s="16">
        <f>AVERAGE(E55,'Plate 2 - Sheet1'!E55,'Plate 3 - Sheet1'!E55)</f>
        <v>0.8996093129</v>
      </c>
      <c r="F64" s="16">
        <f>AVERAGE(F55,'Plate 2 - Sheet1'!F55,'Plate 3 - Sheet1'!F55)</f>
        <v>0.96927612</v>
      </c>
      <c r="G64" s="16">
        <f>AVERAGE(G55,'Plate 2 - Sheet1'!G55,'Plate 3 - Sheet1'!G55)</f>
        <v>0.9768589132</v>
      </c>
      <c r="H64" s="16">
        <f>AVERAGE(H55,'Plate 2 - Sheet1'!H55,'Plate 3 - Sheet1'!H55)</f>
        <v>0.9778935584</v>
      </c>
      <c r="I64" s="16">
        <f>AVERAGE(I55,'Plate 2 - Sheet1'!I55,'Plate 3 - Sheet1'!I55)</f>
        <v>0.9520431444</v>
      </c>
      <c r="J64" s="16">
        <f>AVERAGE(J55,'Plate 2 - Sheet1'!J55,'Plate 3 - Sheet1'!J55)</f>
        <v>0.9553945398</v>
      </c>
      <c r="K64" s="16">
        <f>AVERAGE(K55,'Plate 2 - Sheet1'!K55,'Plate 3 - Sheet1'!K55)</f>
        <v>0.9510128457</v>
      </c>
      <c r="L64" s="16">
        <f>AVERAGE(L55,'Plate 2 - Sheet1'!L55,'Plate 3 - Sheet1'!L55)</f>
        <v>0.9513729238</v>
      </c>
      <c r="M64" s="16">
        <f>AVERAGE(M55,'Plate 2 - Sheet1'!M55,'Plate 3 - Sheet1'!M55)</f>
        <v>0.9560282666</v>
      </c>
      <c r="N64" s="16">
        <f>AVERAGE(N55,'Plate 2 - Sheet1'!N55,'Plate 3 - Sheet1'!N55)</f>
        <v>0.9503559792</v>
      </c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ht="12.75" customHeight="1">
      <c r="C65" s="16">
        <f>AVERAGE(C56,'Plate 2 - Sheet1'!C56,'Plate 3 - Sheet1'!C56)</f>
        <v>0.8662972485</v>
      </c>
      <c r="D65" s="16">
        <f>AVERAGE(D56,'Plate 2 - Sheet1'!D56,'Plate 3 - Sheet1'!D56)</f>
        <v>0.8680913733</v>
      </c>
      <c r="E65" s="16">
        <f>AVERAGE(E56,'Plate 2 - Sheet1'!E56,'Plate 3 - Sheet1'!E56)</f>
        <v>0.8706975626</v>
      </c>
      <c r="F65" s="16">
        <f>AVERAGE(F56,'Plate 2 - Sheet1'!F56,'Plate 3 - Sheet1'!F56)</f>
        <v>0.9346390192</v>
      </c>
      <c r="G65" s="16">
        <f>AVERAGE(G56,'Plate 2 - Sheet1'!G56,'Plate 3 - Sheet1'!G56)</f>
        <v>0.9519683435</v>
      </c>
      <c r="H65" s="16">
        <f>AVERAGE(H56,'Plate 2 - Sheet1'!H56,'Plate 3 - Sheet1'!H56)</f>
        <v>0.9519276826</v>
      </c>
      <c r="I65" s="16">
        <f>AVERAGE(I56,'Plate 2 - Sheet1'!I56,'Plate 3 - Sheet1'!I56)</f>
        <v>0.9013857572</v>
      </c>
      <c r="J65" s="16">
        <f>AVERAGE(J56,'Plate 2 - Sheet1'!J56,'Plate 3 - Sheet1'!J56)</f>
        <v>0.8951576863</v>
      </c>
      <c r="K65" s="16">
        <f>AVERAGE(K56,'Plate 2 - Sheet1'!K56,'Plate 3 - Sheet1'!K56)</f>
        <v>0.898189339</v>
      </c>
      <c r="L65" s="16">
        <f>AVERAGE(L56,'Plate 2 - Sheet1'!L56,'Plate 3 - Sheet1'!L56)</f>
        <v>0.9350082927</v>
      </c>
      <c r="M65" s="16">
        <f>AVERAGE(M56,'Plate 2 - Sheet1'!M56,'Plate 3 - Sheet1'!M56)</f>
        <v>0.9166639778</v>
      </c>
      <c r="N65" s="16">
        <f>AVERAGE(N56,'Plate 2 - Sheet1'!N56,'Plate 3 - Sheet1'!N56)</f>
        <v>0.9128314643</v>
      </c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ht="12.75" customHeight="1">
      <c r="C66" s="16">
        <f>AVERAGE(C57,'Plate 2 - Sheet1'!C57,'Plate 3 - Sheet1'!C57)</f>
        <v>0.07685438197</v>
      </c>
      <c r="D66" s="16">
        <f>AVERAGE(D57,'Plate 2 - Sheet1'!D57,'Plate 3 - Sheet1'!D57)</f>
        <v>0.1157210976</v>
      </c>
      <c r="E66" s="16">
        <f>AVERAGE(E57,'Plate 2 - Sheet1'!E57,'Plate 3 - Sheet1'!E57)</f>
        <v>0.1177074459</v>
      </c>
      <c r="F66" s="16">
        <f>AVERAGE(F57,'Plate 2 - Sheet1'!F57,'Plate 3 - Sheet1'!F57)</f>
        <v>0.04092698076</v>
      </c>
      <c r="G66" s="16">
        <f>AVERAGE(G57,'Plate 2 - Sheet1'!G57,'Plate 3 - Sheet1'!G57)</f>
        <v>0.04215678119</v>
      </c>
      <c r="H66" s="16">
        <f>AVERAGE(H57,'Plate 2 - Sheet1'!H57,'Plate 3 - Sheet1'!H57)</f>
        <v>0.04073500755</v>
      </c>
      <c r="I66" s="16">
        <f>AVERAGE(I57,'Plate 2 - Sheet1'!I57,'Plate 3 - Sheet1'!I57)</f>
        <v>0.03438461865</v>
      </c>
      <c r="J66" s="16">
        <f>AVERAGE(J57,'Plate 2 - Sheet1'!J57,'Plate 3 - Sheet1'!J57)</f>
        <v>0.03101898189</v>
      </c>
      <c r="K66" s="16">
        <f>AVERAGE(K57,'Plate 2 - Sheet1'!K57,'Plate 3 - Sheet1'!K57)</f>
        <v>0.03143609338</v>
      </c>
      <c r="L66" s="16">
        <f>AVERAGE(L57,'Plate 2 - Sheet1'!L57,'Plate 3 - Sheet1'!L57)</f>
        <v>0.037050699</v>
      </c>
      <c r="M66" s="16">
        <f>AVERAGE(M57,'Plate 2 - Sheet1'!M57,'Plate 3 - Sheet1'!M57)</f>
        <v>0.02790440693</v>
      </c>
      <c r="N66" s="16">
        <f>AVERAGE(N57,'Plate 2 - Sheet1'!N57,'Plate 3 - Sheet1'!N57)</f>
        <v>0.02598535598</v>
      </c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ht="12.75" customHeight="1">
      <c r="C67" s="16">
        <f>AVERAGE(C58,'Plate 2 - Sheet1'!C58,'Plate 3 - Sheet1'!C58)</f>
        <v>0.01035241294</v>
      </c>
      <c r="D67" s="16">
        <f>AVERAGE(D58,'Plate 2 - Sheet1'!D58,'Plate 3 - Sheet1'!D58)</f>
        <v>0.01023545299</v>
      </c>
      <c r="E67" s="16">
        <f>AVERAGE(E58,'Plate 2 - Sheet1'!E58,'Plate 3 - Sheet1'!E58)</f>
        <v>0.01010572611</v>
      </c>
      <c r="F67" s="16">
        <f>AVERAGE(F58,'Plate 2 - Sheet1'!F58,'Plate 3 - Sheet1'!F58)</f>
        <v>0.01047854373</v>
      </c>
      <c r="G67" s="16">
        <f>AVERAGE(G58,'Plate 2 - Sheet1'!G58,'Plate 3 - Sheet1'!G58)</f>
        <v>0.01399529521</v>
      </c>
      <c r="H67" s="16">
        <f>AVERAGE(H58,'Plate 2 - Sheet1'!H58,'Plate 3 - Sheet1'!H58)</f>
        <v>0.009763012772</v>
      </c>
      <c r="I67" s="16">
        <f>AVERAGE(I58,'Plate 2 - Sheet1'!I58,'Plate 3 - Sheet1'!I58)</f>
        <v>0.01099119003</v>
      </c>
      <c r="J67" s="16">
        <f>AVERAGE(J58,'Plate 2 - Sheet1'!J58,'Plate 3 - Sheet1'!J58)</f>
        <v>0.009470692094</v>
      </c>
      <c r="K67" s="16">
        <f>AVERAGE(K58,'Plate 2 - Sheet1'!K58,'Plate 3 - Sheet1'!K58)</f>
        <v>0.01132814184</v>
      </c>
      <c r="L67" s="16">
        <f>AVERAGE(L58,'Plate 2 - Sheet1'!L58,'Plate 3 - Sheet1'!L58)</f>
        <v>0.008548088955</v>
      </c>
      <c r="M67" s="16">
        <f>AVERAGE(M58,'Plate 2 - Sheet1'!M58,'Plate 3 - Sheet1'!M58)</f>
        <v>0.004839523285</v>
      </c>
      <c r="N67" s="16">
        <f>AVERAGE(N58,'Plate 2 - Sheet1'!N58,'Plate 3 - Sheet1'!N58)</f>
        <v>0.002712743929</v>
      </c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ht="12.75" customHeight="1">
      <c r="C68" s="16">
        <f>AVERAGE(C59,'Plate 2 - Sheet1'!C59,'Plate 3 - Sheet1'!C59)</f>
        <v>0.01475978249</v>
      </c>
      <c r="D68" s="16">
        <f>AVERAGE(D59,'Plate 2 - Sheet1'!D59,'Plate 3 - Sheet1'!D59)</f>
        <v>0.01483264994</v>
      </c>
      <c r="E68" s="16">
        <f>AVERAGE(E59,'Plate 2 - Sheet1'!E59,'Plate 3 - Sheet1'!E59)</f>
        <v>0.01327576257</v>
      </c>
      <c r="F68" s="16">
        <f>AVERAGE(F59,'Plate 2 - Sheet1'!F59,'Plate 3 - Sheet1'!F59)</f>
        <v>0.008146286804</v>
      </c>
      <c r="G68" s="16">
        <f>AVERAGE(G59,'Plate 2 - Sheet1'!G59,'Plate 3 - Sheet1'!G59)</f>
        <v>0.01158710487</v>
      </c>
      <c r="H68" s="16">
        <f>AVERAGE(H59,'Plate 2 - Sheet1'!H59,'Plate 3 - Sheet1'!H59)</f>
        <v>0.01008377671</v>
      </c>
      <c r="I68" s="16">
        <f>AVERAGE(I59,'Plate 2 - Sheet1'!I59,'Plate 3 - Sheet1'!I59)</f>
        <v>0.00859889948</v>
      </c>
      <c r="J68" s="16">
        <f>AVERAGE(J59,'Plate 2 - Sheet1'!J59,'Plate 3 - Sheet1'!J59)</f>
        <v>0.008269651184</v>
      </c>
      <c r="K68" s="16">
        <f>AVERAGE(K59,'Plate 2 - Sheet1'!K59,'Plate 3 - Sheet1'!K59)</f>
        <v>0.007702540401</v>
      </c>
      <c r="L68" s="16">
        <f>AVERAGE(L59,'Plate 2 - Sheet1'!L59,'Plate 3 - Sheet1'!L59)</f>
        <v>0.00696303659</v>
      </c>
      <c r="M68" s="16">
        <f>AVERAGE(M59,'Plate 2 - Sheet1'!M59,'Plate 3 - Sheet1'!M59)</f>
        <v>0.00175883828</v>
      </c>
      <c r="N68" s="16">
        <f>AVERAGE(N59,'Plate 2 - Sheet1'!N59,'Plate 3 - Sheet1'!N59)</f>
        <v>0.000227421792</v>
      </c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ht="12.75" customHeight="1">
      <c r="C69" s="16">
        <f>AVERAGE(C60,'Plate 2 - Sheet1'!C60,'Plate 3 - Sheet1'!C60)</f>
        <v>0.02290555724</v>
      </c>
      <c r="D69" s="16">
        <f>AVERAGE(D60,'Plate 2 - Sheet1'!D60,'Plate 3 - Sheet1'!D60)</f>
        <v>0.01871539247</v>
      </c>
      <c r="E69" s="16">
        <f>AVERAGE(E60,'Plate 2 - Sheet1'!E60,'Plate 3 - Sheet1'!E60)</f>
        <v>0.02046564415</v>
      </c>
      <c r="F69" s="16">
        <f>AVERAGE(F60,'Plate 2 - Sheet1'!F60,'Plate 3 - Sheet1'!F60)</f>
        <v>0.004538662188</v>
      </c>
      <c r="G69" s="16">
        <f>AVERAGE(G60,'Plate 2 - Sheet1'!G60,'Plate 3 - Sheet1'!G60)</f>
        <v>0.002653714178</v>
      </c>
      <c r="H69" s="16">
        <f>AVERAGE(H60,'Plate 2 - Sheet1'!H60,'Plate 3 - Sheet1'!H60)</f>
        <v>0.004230858363</v>
      </c>
      <c r="I69" s="16">
        <f>AVERAGE(I60,'Plate 2 - Sheet1'!I60,'Plate 3 - Sheet1'!I60)</f>
        <v>0.001113578522</v>
      </c>
      <c r="J69" s="16">
        <f>AVERAGE(J60,'Plate 2 - Sheet1'!J60,'Plate 3 - Sheet1'!J60)</f>
        <v>0.001095706724</v>
      </c>
      <c r="K69" s="16">
        <f>AVERAGE(K60,'Plate 2 - Sheet1'!K60,'Plate 3 - Sheet1'!K60)</f>
        <v>0.0002127514605</v>
      </c>
      <c r="L69" s="16">
        <f>AVERAGE(L60,'Plate 2 - Sheet1'!L60,'Plate 3 - Sheet1'!L60)</f>
        <v>0.002694822711</v>
      </c>
      <c r="M69" s="16">
        <f>AVERAGE(M60,'Plate 2 - Sheet1'!M60,'Plate 3 - Sheet1'!M60)</f>
        <v>0.001152459268</v>
      </c>
      <c r="N69" s="16">
        <f>AVERAGE(N60,'Plate 2 - Sheet1'!N60,'Plate 3 - Sheet1'!N60)</f>
        <v>0.002405428382</v>
      </c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ht="12.75" customHeight="1"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 ht="12.75" customHeight="1">
      <c r="C71" s="21">
        <v>0.060114085125054846</v>
      </c>
      <c r="D71" s="21">
        <v>0.09019695613249777</v>
      </c>
      <c r="E71" s="21">
        <v>0.0977024831747505</v>
      </c>
      <c r="F71" s="21">
        <v>0.045738045738045734</v>
      </c>
      <c r="G71" s="21">
        <v>0.04333532576210399</v>
      </c>
      <c r="H71" s="21">
        <v>0.04467250226380923</v>
      </c>
      <c r="I71" s="21">
        <v>0.04124629080118693</v>
      </c>
      <c r="J71" s="21">
        <v>0.03837072018890199</v>
      </c>
      <c r="K71" s="21">
        <v>0.03867896459387086</v>
      </c>
      <c r="L71" s="21">
        <v>0.044328951391011916</v>
      </c>
      <c r="M71" s="16">
        <v>0.03531941031941033</v>
      </c>
      <c r="N71" s="16">
        <v>0.029901356350184958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 ht="12.75" customHeight="1"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 ht="12.75" customHeight="1">
      <c r="C73" s="22">
        <f>C65/$C$46</f>
        <v>0.8189354799</v>
      </c>
      <c r="D73" s="22">
        <f>D65/$D$46</f>
        <v>0.8039123692</v>
      </c>
      <c r="E73" s="22">
        <f>E65/$E$46</f>
        <v>0.8063258799</v>
      </c>
      <c r="F73" s="22">
        <f>F65/$F$46</f>
        <v>0.8687581898</v>
      </c>
      <c r="G73" s="22">
        <f>G65/$G$46</f>
        <v>0.8990728886</v>
      </c>
      <c r="H73" s="22">
        <f>H65/$H$46</f>
        <v>0.9015889653</v>
      </c>
      <c r="I73" s="22">
        <f>I65/$I$46</f>
        <v>0.8188212783</v>
      </c>
      <c r="J73" s="22">
        <f>J65/$J$46</f>
        <v>0.8146437309</v>
      </c>
      <c r="K73" s="22">
        <f>K65/$K$46</f>
        <v>0.8151771342</v>
      </c>
      <c r="L73" s="22">
        <f>L65/$L$46</f>
        <v>0.8805603133</v>
      </c>
      <c r="M73" s="22">
        <f>M65/$M$46</f>
        <v>0.8457610129</v>
      </c>
      <c r="N73" s="22">
        <f>N65/$N$46</f>
        <v>0.8516542973</v>
      </c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 ht="12.75" customHeight="1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 ht="12.75" customHeight="1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 ht="12.75" customHeight="1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 ht="12.75" customHeight="1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 ht="12.75" customHeight="1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 ht="12.75" customHeight="1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 ht="12.75" customHeight="1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Q57:AB63">
    <cfRule type="colorScale" priority="1">
      <colorScale>
        <cfvo type="formula" val="0"/>
        <cfvo type="max"/>
        <color rgb="FF000000"/>
        <color rgb="FF4A86E8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2.75"/>
    <col customWidth="1" min="3" max="15" width="9.13"/>
    <col customWidth="1" min="16" max="26" width="8.63"/>
  </cols>
  <sheetData>
    <row r="1" ht="12.75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2.75" customHeight="1">
      <c r="A2" s="22" t="s">
        <v>0</v>
      </c>
      <c r="B2" s="22" t="s"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2.7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2.75" customHeight="1">
      <c r="A4" s="22" t="s">
        <v>2</v>
      </c>
      <c r="B4" s="22" t="s">
        <v>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2.75" customHeight="1">
      <c r="A5" s="22" t="s">
        <v>4</v>
      </c>
      <c r="B5" s="22" t="s">
        <v>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2.75" customHeight="1">
      <c r="A6" s="22" t="s">
        <v>6</v>
      </c>
      <c r="B6" s="22" t="s">
        <v>148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2.75" customHeight="1">
      <c r="A7" s="22" t="s">
        <v>8</v>
      </c>
      <c r="B7" s="2">
        <v>45994.0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2.75" customHeight="1">
      <c r="A8" s="22" t="s">
        <v>9</v>
      </c>
      <c r="B8" s="3">
        <v>0.6040740740740741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2.75" customHeight="1">
      <c r="A9" s="22" t="s">
        <v>10</v>
      </c>
      <c r="B9" s="22" t="s">
        <v>11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2.75" customHeight="1">
      <c r="A10" s="22" t="s">
        <v>12</v>
      </c>
      <c r="B10" s="22">
        <v>1803065.0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2.75" customHeight="1">
      <c r="A11" s="22" t="s">
        <v>13</v>
      </c>
      <c r="B11" s="22" t="s">
        <v>14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2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2.75" customHeight="1">
      <c r="A13" s="4" t="s">
        <v>15</v>
      </c>
      <c r="B13" s="5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2.75" customHeight="1">
      <c r="A14" s="22" t="s">
        <v>16</v>
      </c>
      <c r="B14" s="22" t="s">
        <v>17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2.75" customHeight="1">
      <c r="A15" s="22" t="s">
        <v>18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2.75" customHeight="1">
      <c r="A16" s="22" t="s">
        <v>19</v>
      </c>
      <c r="B16" s="22" t="s">
        <v>20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2.75" customHeight="1">
      <c r="A17" s="22"/>
      <c r="B17" s="22" t="s">
        <v>21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2.75" customHeight="1">
      <c r="A18" s="22"/>
      <c r="B18" s="22" t="s">
        <v>22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2.75" customHeight="1">
      <c r="A19" s="22"/>
      <c r="B19" s="22" t="s">
        <v>23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2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2.75" customHeight="1">
      <c r="A21" s="4" t="s">
        <v>24</v>
      </c>
      <c r="B21" s="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2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2.75" customHeight="1">
      <c r="A23" s="22"/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2.75" customHeight="1">
      <c r="A24" s="22"/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2.75" customHeight="1">
      <c r="A25" s="22"/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2.75" customHeight="1">
      <c r="A26" s="22"/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2.75" customHeight="1">
      <c r="A27" s="22"/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2.75" customHeight="1">
      <c r="A28" s="22"/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2.75" customHeight="1">
      <c r="A29" s="22"/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2.75" customHeight="1">
      <c r="A30" s="22"/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2.75" customHeight="1">
      <c r="A31" s="22"/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2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2.75" customHeight="1">
      <c r="A33" s="4" t="s">
        <v>130</v>
      </c>
      <c r="B33" s="5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2.75" customHeight="1">
      <c r="A34" s="22" t="s">
        <v>131</v>
      </c>
      <c r="B34" s="22">
        <v>24.1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2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2.75" customHeight="1">
      <c r="A36" s="22"/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2.75" customHeight="1">
      <c r="A37" s="22"/>
      <c r="B37" s="7" t="s">
        <v>25</v>
      </c>
      <c r="C37" s="10">
        <v>0.097</v>
      </c>
      <c r="D37" s="10">
        <v>0.097</v>
      </c>
      <c r="E37" s="10">
        <v>0.099</v>
      </c>
      <c r="F37" s="10">
        <v>0.097</v>
      </c>
      <c r="G37" s="10">
        <v>0.098</v>
      </c>
      <c r="H37" s="10">
        <v>0.096</v>
      </c>
      <c r="I37" s="10">
        <v>0.098</v>
      </c>
      <c r="J37" s="10">
        <v>0.1</v>
      </c>
      <c r="K37" s="10">
        <v>0.097</v>
      </c>
      <c r="L37" s="10">
        <v>0.098</v>
      </c>
      <c r="M37" s="10">
        <v>0.098</v>
      </c>
      <c r="N37" s="10">
        <v>0.097</v>
      </c>
      <c r="O37" s="9">
        <v>600.0</v>
      </c>
      <c r="P37" s="22">
        <f>AVERAGE(C37:N37)</f>
        <v>0.09766666667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2.75" customHeight="1">
      <c r="A38" s="22"/>
      <c r="B38" s="7" t="s">
        <v>39</v>
      </c>
      <c r="C38" s="12">
        <v>1.617</v>
      </c>
      <c r="D38" s="12">
        <v>1.587</v>
      </c>
      <c r="E38" s="12">
        <v>1.534</v>
      </c>
      <c r="F38" s="23">
        <v>1.22</v>
      </c>
      <c r="G38" s="23">
        <v>1.213</v>
      </c>
      <c r="H38" s="23">
        <v>1.202</v>
      </c>
      <c r="I38" s="23">
        <v>1.221</v>
      </c>
      <c r="J38" s="23">
        <v>1.227</v>
      </c>
      <c r="K38" s="23">
        <v>1.218</v>
      </c>
      <c r="L38" s="23">
        <v>1.188</v>
      </c>
      <c r="M38" s="23">
        <v>1.183</v>
      </c>
      <c r="N38" s="24">
        <v>1.179</v>
      </c>
      <c r="O38" s="9">
        <v>600.0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2.75" customHeight="1">
      <c r="A39" s="22"/>
      <c r="B39" s="7" t="s">
        <v>52</v>
      </c>
      <c r="C39" s="24">
        <v>1.154</v>
      </c>
      <c r="D39" s="24">
        <v>1.168</v>
      </c>
      <c r="E39" s="24">
        <v>1.168</v>
      </c>
      <c r="F39" s="24">
        <v>1.169</v>
      </c>
      <c r="G39" s="24">
        <v>1.169</v>
      </c>
      <c r="H39" s="24">
        <v>1.166</v>
      </c>
      <c r="I39" s="24">
        <v>1.168</v>
      </c>
      <c r="J39" s="24">
        <v>1.18</v>
      </c>
      <c r="K39" s="24">
        <v>1.17</v>
      </c>
      <c r="L39" s="24">
        <v>1.134</v>
      </c>
      <c r="M39" s="24">
        <v>1.13</v>
      </c>
      <c r="N39" s="24">
        <v>1.121</v>
      </c>
      <c r="O39" s="9">
        <v>600.0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2.75" customHeight="1">
      <c r="A40" s="22"/>
      <c r="B40" s="7" t="s">
        <v>65</v>
      </c>
      <c r="C40" s="24">
        <v>1.131</v>
      </c>
      <c r="D40" s="24">
        <v>1.154</v>
      </c>
      <c r="E40" s="24">
        <v>1.138</v>
      </c>
      <c r="F40" s="24">
        <v>1.132</v>
      </c>
      <c r="G40" s="24">
        <v>1.136</v>
      </c>
      <c r="H40" s="24">
        <v>1.137</v>
      </c>
      <c r="I40" s="24">
        <v>1.109</v>
      </c>
      <c r="J40" s="24">
        <v>1.08</v>
      </c>
      <c r="K40" s="24">
        <v>1.103</v>
      </c>
      <c r="L40" s="24">
        <v>1.113</v>
      </c>
      <c r="M40" s="24">
        <v>1.089</v>
      </c>
      <c r="N40" s="24">
        <v>1.074</v>
      </c>
      <c r="O40" s="9">
        <v>600.0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2.75" customHeight="1">
      <c r="A41" s="22"/>
      <c r="B41" s="7" t="s">
        <v>78</v>
      </c>
      <c r="C41" s="10">
        <v>0.189</v>
      </c>
      <c r="D41" s="14">
        <v>0.232</v>
      </c>
      <c r="E41" s="14">
        <v>0.238</v>
      </c>
      <c r="F41" s="10">
        <v>0.149</v>
      </c>
      <c r="G41" s="10">
        <v>0.146</v>
      </c>
      <c r="H41" s="10">
        <v>0.147</v>
      </c>
      <c r="I41" s="10">
        <v>0.144</v>
      </c>
      <c r="J41" s="10">
        <v>0.141</v>
      </c>
      <c r="K41" s="10">
        <v>0.141</v>
      </c>
      <c r="L41" s="10">
        <v>0.146</v>
      </c>
      <c r="M41" s="10">
        <v>0.136</v>
      </c>
      <c r="N41" s="10">
        <v>0.13</v>
      </c>
      <c r="O41" s="9">
        <v>600.0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2.75" customHeight="1">
      <c r="A42" s="22"/>
      <c r="B42" s="7" t="s">
        <v>91</v>
      </c>
      <c r="C42" s="10">
        <v>0.117</v>
      </c>
      <c r="D42" s="10">
        <v>0.125</v>
      </c>
      <c r="E42" s="10">
        <v>0.126</v>
      </c>
      <c r="F42" s="10">
        <v>0.12</v>
      </c>
      <c r="G42" s="10">
        <v>0.122</v>
      </c>
      <c r="H42" s="10">
        <v>0.117</v>
      </c>
      <c r="I42" s="10">
        <v>0.118</v>
      </c>
      <c r="J42" s="10">
        <v>0.117</v>
      </c>
      <c r="K42" s="10">
        <v>0.115</v>
      </c>
      <c r="L42" s="10">
        <v>0.115</v>
      </c>
      <c r="M42" s="10">
        <v>0.111</v>
      </c>
      <c r="N42" s="10">
        <v>0.102</v>
      </c>
      <c r="O42" s="9">
        <v>600.0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2.75" customHeight="1">
      <c r="A43" s="22"/>
      <c r="B43" s="7" t="s">
        <v>104</v>
      </c>
      <c r="C43" s="10">
        <v>0.117</v>
      </c>
      <c r="D43" s="10">
        <v>0.125</v>
      </c>
      <c r="E43" s="10">
        <v>0.125</v>
      </c>
      <c r="F43" s="10">
        <v>0.111</v>
      </c>
      <c r="G43" s="10">
        <v>0.114</v>
      </c>
      <c r="H43" s="10">
        <v>0.114</v>
      </c>
      <c r="I43" s="10">
        <v>0.114</v>
      </c>
      <c r="J43" s="10">
        <v>0.115</v>
      </c>
      <c r="K43" s="10">
        <v>0.115</v>
      </c>
      <c r="L43" s="10">
        <v>0.118</v>
      </c>
      <c r="M43" s="10">
        <v>0.114</v>
      </c>
      <c r="N43" s="10">
        <v>0.1</v>
      </c>
      <c r="O43" s="9">
        <v>600.0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2.75" customHeight="1">
      <c r="A44" s="22"/>
      <c r="B44" s="7" t="s">
        <v>117</v>
      </c>
      <c r="C44" s="10">
        <v>0.124</v>
      </c>
      <c r="D44" s="10">
        <v>0.119</v>
      </c>
      <c r="E44" s="10">
        <v>0.128</v>
      </c>
      <c r="F44" s="10">
        <v>0.103</v>
      </c>
      <c r="G44" s="10">
        <v>0.103</v>
      </c>
      <c r="H44" s="10">
        <v>0.102</v>
      </c>
      <c r="I44" s="10">
        <v>0.101</v>
      </c>
      <c r="J44" s="10">
        <v>0.102</v>
      </c>
      <c r="K44" s="10">
        <v>0.1</v>
      </c>
      <c r="L44" s="10">
        <v>0.102</v>
      </c>
      <c r="M44" s="10">
        <v>0.101</v>
      </c>
      <c r="N44" s="10">
        <v>0.101</v>
      </c>
      <c r="O44" s="9">
        <v>600.0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2.75" customHeight="1">
      <c r="A46" s="22"/>
      <c r="B46" s="22"/>
      <c r="C46" s="22">
        <f t="shared" ref="C46:N46" si="1">C38-$P$37</f>
        <v>1.519333333</v>
      </c>
      <c r="D46" s="22">
        <f t="shared" si="1"/>
        <v>1.489333333</v>
      </c>
      <c r="E46" s="22">
        <f t="shared" si="1"/>
        <v>1.436333333</v>
      </c>
      <c r="F46" s="22">
        <f t="shared" si="1"/>
        <v>1.122333333</v>
      </c>
      <c r="G46" s="22">
        <f t="shared" si="1"/>
        <v>1.115333333</v>
      </c>
      <c r="H46" s="22">
        <f t="shared" si="1"/>
        <v>1.104333333</v>
      </c>
      <c r="I46" s="22">
        <f t="shared" si="1"/>
        <v>1.123333333</v>
      </c>
      <c r="J46" s="22">
        <f t="shared" si="1"/>
        <v>1.129333333</v>
      </c>
      <c r="K46" s="22">
        <f t="shared" si="1"/>
        <v>1.120333333</v>
      </c>
      <c r="L46" s="22">
        <f t="shared" si="1"/>
        <v>1.090333333</v>
      </c>
      <c r="M46" s="22">
        <f t="shared" si="1"/>
        <v>1.085333333</v>
      </c>
      <c r="N46" s="22">
        <f t="shared" si="1"/>
        <v>1.081333333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2.75" customHeight="1">
      <c r="A47" s="22"/>
      <c r="B47" s="22"/>
      <c r="C47" s="22">
        <f t="shared" ref="C47:N47" si="2">C39-$P$37</f>
        <v>1.056333333</v>
      </c>
      <c r="D47" s="22">
        <f t="shared" si="2"/>
        <v>1.070333333</v>
      </c>
      <c r="E47" s="22">
        <f t="shared" si="2"/>
        <v>1.070333333</v>
      </c>
      <c r="F47" s="22">
        <f t="shared" si="2"/>
        <v>1.071333333</v>
      </c>
      <c r="G47" s="22">
        <f t="shared" si="2"/>
        <v>1.071333333</v>
      </c>
      <c r="H47" s="22">
        <f t="shared" si="2"/>
        <v>1.068333333</v>
      </c>
      <c r="I47" s="22">
        <f t="shared" si="2"/>
        <v>1.070333333</v>
      </c>
      <c r="J47" s="22">
        <f t="shared" si="2"/>
        <v>1.082333333</v>
      </c>
      <c r="K47" s="22">
        <f t="shared" si="2"/>
        <v>1.072333333</v>
      </c>
      <c r="L47" s="22">
        <f t="shared" si="2"/>
        <v>1.036333333</v>
      </c>
      <c r="M47" s="22">
        <f t="shared" si="2"/>
        <v>1.032333333</v>
      </c>
      <c r="N47" s="22">
        <f t="shared" si="2"/>
        <v>1.023333333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2.75" customHeight="1">
      <c r="A48" s="22"/>
      <c r="B48" s="22"/>
      <c r="C48" s="22">
        <f t="shared" ref="C48:N48" si="3">C40-$P$37</f>
        <v>1.033333333</v>
      </c>
      <c r="D48" s="22">
        <f t="shared" si="3"/>
        <v>1.056333333</v>
      </c>
      <c r="E48" s="22">
        <f t="shared" si="3"/>
        <v>1.040333333</v>
      </c>
      <c r="F48" s="22">
        <f t="shared" si="3"/>
        <v>1.034333333</v>
      </c>
      <c r="G48" s="22">
        <f t="shared" si="3"/>
        <v>1.038333333</v>
      </c>
      <c r="H48" s="22">
        <f t="shared" si="3"/>
        <v>1.039333333</v>
      </c>
      <c r="I48" s="22">
        <f t="shared" si="3"/>
        <v>1.011333333</v>
      </c>
      <c r="J48" s="22">
        <f t="shared" si="3"/>
        <v>0.9823333333</v>
      </c>
      <c r="K48" s="22">
        <f t="shared" si="3"/>
        <v>1.005333333</v>
      </c>
      <c r="L48" s="22">
        <f t="shared" si="3"/>
        <v>1.015333333</v>
      </c>
      <c r="M48" s="22">
        <f t="shared" si="3"/>
        <v>0.9913333333</v>
      </c>
      <c r="N48" s="22">
        <f t="shared" si="3"/>
        <v>0.9763333333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2.75" customHeight="1">
      <c r="A49" s="22"/>
      <c r="B49" s="22"/>
      <c r="C49" s="22">
        <f t="shared" ref="C49:N49" si="4">C41-$P$37</f>
        <v>0.09133333333</v>
      </c>
      <c r="D49" s="22">
        <f t="shared" si="4"/>
        <v>0.1343333333</v>
      </c>
      <c r="E49" s="22">
        <f t="shared" si="4"/>
        <v>0.1403333333</v>
      </c>
      <c r="F49" s="22">
        <f t="shared" si="4"/>
        <v>0.05133333333</v>
      </c>
      <c r="G49" s="22">
        <f t="shared" si="4"/>
        <v>0.04833333333</v>
      </c>
      <c r="H49" s="22">
        <f t="shared" si="4"/>
        <v>0.04933333333</v>
      </c>
      <c r="I49" s="22">
        <f t="shared" si="4"/>
        <v>0.04633333333</v>
      </c>
      <c r="J49" s="22">
        <f t="shared" si="4"/>
        <v>0.04333333333</v>
      </c>
      <c r="K49" s="22">
        <f t="shared" si="4"/>
        <v>0.04333333333</v>
      </c>
      <c r="L49" s="22">
        <f t="shared" si="4"/>
        <v>0.04833333333</v>
      </c>
      <c r="M49" s="22">
        <f t="shared" si="4"/>
        <v>0.03833333333</v>
      </c>
      <c r="N49" s="22">
        <f t="shared" si="4"/>
        <v>0.03233333333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2.75" customHeight="1">
      <c r="A50" s="22"/>
      <c r="B50" s="22"/>
      <c r="C50" s="22">
        <f t="shared" ref="C50:N50" si="5">C42-$P$37</f>
        <v>0.01933333333</v>
      </c>
      <c r="D50" s="22">
        <f t="shared" si="5"/>
        <v>0.02733333333</v>
      </c>
      <c r="E50" s="22">
        <f t="shared" si="5"/>
        <v>0.02833333333</v>
      </c>
      <c r="F50" s="22">
        <f t="shared" si="5"/>
        <v>0.02233333333</v>
      </c>
      <c r="G50" s="22">
        <f t="shared" si="5"/>
        <v>0.02433333333</v>
      </c>
      <c r="H50" s="22">
        <f t="shared" si="5"/>
        <v>0.01933333333</v>
      </c>
      <c r="I50" s="22">
        <f t="shared" si="5"/>
        <v>0.02033333333</v>
      </c>
      <c r="J50" s="22">
        <f t="shared" si="5"/>
        <v>0.01933333333</v>
      </c>
      <c r="K50" s="22">
        <f t="shared" si="5"/>
        <v>0.01733333333</v>
      </c>
      <c r="L50" s="22">
        <f t="shared" si="5"/>
        <v>0.01733333333</v>
      </c>
      <c r="M50" s="22">
        <f t="shared" si="5"/>
        <v>0.01333333333</v>
      </c>
      <c r="N50" s="22">
        <f t="shared" si="5"/>
        <v>0.004333333333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2.75" customHeight="1">
      <c r="A51" s="22"/>
      <c r="B51" s="22"/>
      <c r="C51" s="22">
        <f t="shared" ref="C51:N51" si="6">C43-$P$37</f>
        <v>0.01933333333</v>
      </c>
      <c r="D51" s="22">
        <f t="shared" si="6"/>
        <v>0.02733333333</v>
      </c>
      <c r="E51" s="22">
        <f t="shared" si="6"/>
        <v>0.02733333333</v>
      </c>
      <c r="F51" s="22">
        <f t="shared" si="6"/>
        <v>0.01333333333</v>
      </c>
      <c r="G51" s="22">
        <f t="shared" si="6"/>
        <v>0.01633333333</v>
      </c>
      <c r="H51" s="22">
        <f t="shared" si="6"/>
        <v>0.01633333333</v>
      </c>
      <c r="I51" s="22">
        <f t="shared" si="6"/>
        <v>0.01633333333</v>
      </c>
      <c r="J51" s="22">
        <f t="shared" si="6"/>
        <v>0.01733333333</v>
      </c>
      <c r="K51" s="22">
        <f t="shared" si="6"/>
        <v>0.01733333333</v>
      </c>
      <c r="L51" s="22">
        <f t="shared" si="6"/>
        <v>0.02033333333</v>
      </c>
      <c r="M51" s="22">
        <f t="shared" si="6"/>
        <v>0.01633333333</v>
      </c>
      <c r="N51" s="22">
        <f t="shared" si="6"/>
        <v>0.002333333333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2.75" customHeight="1">
      <c r="A52" s="22"/>
      <c r="B52" s="22"/>
      <c r="C52" s="22">
        <f t="shared" ref="C52:N52" si="7">C44-$P$37</f>
        <v>0.02633333333</v>
      </c>
      <c r="D52" s="22">
        <f t="shared" si="7"/>
        <v>0.02133333333</v>
      </c>
      <c r="E52" s="22">
        <f t="shared" si="7"/>
        <v>0.03033333333</v>
      </c>
      <c r="F52" s="22">
        <f t="shared" si="7"/>
        <v>0.005333333333</v>
      </c>
      <c r="G52" s="22">
        <f t="shared" si="7"/>
        <v>0.005333333333</v>
      </c>
      <c r="H52" s="22">
        <f t="shared" si="7"/>
        <v>0.004333333333</v>
      </c>
      <c r="I52" s="22">
        <f t="shared" si="7"/>
        <v>0.003333333333</v>
      </c>
      <c r="J52" s="22">
        <f t="shared" si="7"/>
        <v>0.004333333333</v>
      </c>
      <c r="K52" s="22">
        <f t="shared" si="7"/>
        <v>0.002333333333</v>
      </c>
      <c r="L52" s="22">
        <f t="shared" si="7"/>
        <v>0.004333333333</v>
      </c>
      <c r="M52" s="22">
        <f t="shared" si="7"/>
        <v>0.003333333333</v>
      </c>
      <c r="N52" s="22">
        <f t="shared" si="7"/>
        <v>0.003333333333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2.75" customHeight="1">
      <c r="A54" s="22"/>
      <c r="B54" s="22"/>
      <c r="C54" s="22">
        <f t="shared" ref="C54:C60" si="8">C46/$C$46</f>
        <v>1</v>
      </c>
      <c r="D54" s="22">
        <f t="shared" ref="D54:D60" si="9">D46/$D$46</f>
        <v>1</v>
      </c>
      <c r="E54" s="22">
        <f t="shared" ref="E54:E60" si="10">E46/$E$46</f>
        <v>1</v>
      </c>
      <c r="F54" s="22">
        <f t="shared" ref="F54:F60" si="11">F46/$F$46</f>
        <v>1</v>
      </c>
      <c r="G54" s="22">
        <f t="shared" ref="G54:G60" si="12">G46/$G$46</f>
        <v>1</v>
      </c>
      <c r="H54" s="22">
        <f t="shared" ref="H54:H60" si="13">H46/$H$46</f>
        <v>1</v>
      </c>
      <c r="I54" s="22">
        <f t="shared" ref="I54:I60" si="14">I46/$I$46</f>
        <v>1</v>
      </c>
      <c r="J54" s="22">
        <f t="shared" ref="J54:J60" si="15">J46/$J$46</f>
        <v>1</v>
      </c>
      <c r="K54" s="22">
        <f t="shared" ref="K54:K60" si="16">K46/$K$46</f>
        <v>1</v>
      </c>
      <c r="L54" s="22">
        <f t="shared" ref="L54:L60" si="17">L46/$L$46</f>
        <v>1</v>
      </c>
      <c r="M54" s="22">
        <f t="shared" ref="M54:M60" si="18">M46/$M$46</f>
        <v>1</v>
      </c>
      <c r="N54" s="22">
        <f t="shared" ref="N54:N60" si="19">N46/$N$46</f>
        <v>1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2.75" customHeight="1">
      <c r="A55" s="22"/>
      <c r="B55" s="22"/>
      <c r="C55" s="22">
        <f t="shared" si="8"/>
        <v>0.6952610794</v>
      </c>
      <c r="D55" s="22">
        <f t="shared" si="9"/>
        <v>0.7186660698</v>
      </c>
      <c r="E55" s="22">
        <f t="shared" si="10"/>
        <v>0.7451844976</v>
      </c>
      <c r="F55" s="22">
        <f t="shared" si="11"/>
        <v>0.9545589546</v>
      </c>
      <c r="G55" s="22">
        <f t="shared" si="12"/>
        <v>0.9605499103</v>
      </c>
      <c r="H55" s="22">
        <f t="shared" si="13"/>
        <v>0.967401147</v>
      </c>
      <c r="I55" s="22">
        <f t="shared" si="14"/>
        <v>0.9528189911</v>
      </c>
      <c r="J55" s="22">
        <f t="shared" si="15"/>
        <v>0.9583825266</v>
      </c>
      <c r="K55" s="22">
        <f t="shared" si="16"/>
        <v>0.9571556084</v>
      </c>
      <c r="L55" s="22">
        <f t="shared" si="17"/>
        <v>0.9504738612</v>
      </c>
      <c r="M55" s="22">
        <f t="shared" si="18"/>
        <v>0.9511670762</v>
      </c>
      <c r="N55" s="22">
        <f t="shared" si="19"/>
        <v>0.9463625154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2.75" customHeight="1">
      <c r="A56" s="22"/>
      <c r="B56" s="22"/>
      <c r="C56" s="22">
        <f t="shared" si="8"/>
        <v>0.6801228609</v>
      </c>
      <c r="D56" s="22">
        <f t="shared" si="9"/>
        <v>0.7092658908</v>
      </c>
      <c r="E56" s="22">
        <f t="shared" si="10"/>
        <v>0.724297981</v>
      </c>
      <c r="F56" s="22">
        <f t="shared" si="11"/>
        <v>0.9215919216</v>
      </c>
      <c r="G56" s="22">
        <f t="shared" si="12"/>
        <v>0.9309623431</v>
      </c>
      <c r="H56" s="22">
        <f t="shared" si="13"/>
        <v>0.9411409599</v>
      </c>
      <c r="I56" s="22">
        <f t="shared" si="14"/>
        <v>0.9002967359</v>
      </c>
      <c r="J56" s="22">
        <f t="shared" si="15"/>
        <v>0.8698347107</v>
      </c>
      <c r="K56" s="22">
        <f t="shared" si="16"/>
        <v>0.8973519786</v>
      </c>
      <c r="L56" s="22">
        <f t="shared" si="17"/>
        <v>0.9312136961</v>
      </c>
      <c r="M56" s="22">
        <f t="shared" si="18"/>
        <v>0.9133906634</v>
      </c>
      <c r="N56" s="22">
        <f t="shared" si="19"/>
        <v>0.9028976572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2.75" customHeight="1">
      <c r="A57" s="22"/>
      <c r="B57" s="22"/>
      <c r="C57" s="22">
        <f t="shared" si="8"/>
        <v>0.06011408513</v>
      </c>
      <c r="D57" s="22">
        <f t="shared" si="9"/>
        <v>0.09019695613</v>
      </c>
      <c r="E57" s="22">
        <f t="shared" si="10"/>
        <v>0.09770248317</v>
      </c>
      <c r="F57" s="22">
        <f t="shared" si="11"/>
        <v>0.04573804574</v>
      </c>
      <c r="G57" s="22">
        <f t="shared" si="12"/>
        <v>0.04333532576</v>
      </c>
      <c r="H57" s="22">
        <f t="shared" si="13"/>
        <v>0.04467250226</v>
      </c>
      <c r="I57" s="22">
        <f t="shared" si="14"/>
        <v>0.0412462908</v>
      </c>
      <c r="J57" s="22">
        <f t="shared" si="15"/>
        <v>0.03837072019</v>
      </c>
      <c r="K57" s="22">
        <f t="shared" si="16"/>
        <v>0.03867896459</v>
      </c>
      <c r="L57" s="22">
        <f t="shared" si="17"/>
        <v>0.04432895139</v>
      </c>
      <c r="M57" s="22">
        <f t="shared" si="18"/>
        <v>0.03531941032</v>
      </c>
      <c r="N57" s="22">
        <f t="shared" si="19"/>
        <v>0.02990135635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2.75" customHeight="1">
      <c r="A58" s="22"/>
      <c r="B58" s="22"/>
      <c r="C58" s="22">
        <f t="shared" si="8"/>
        <v>0.01272487933</v>
      </c>
      <c r="D58" s="22">
        <f t="shared" si="9"/>
        <v>0.01835273053</v>
      </c>
      <c r="E58" s="22">
        <f t="shared" si="10"/>
        <v>0.01972615456</v>
      </c>
      <c r="F58" s="22">
        <f t="shared" si="11"/>
        <v>0.0198990199</v>
      </c>
      <c r="G58" s="22">
        <f t="shared" si="12"/>
        <v>0.02181709504</v>
      </c>
      <c r="H58" s="22">
        <f t="shared" si="13"/>
        <v>0.01750679143</v>
      </c>
      <c r="I58" s="22">
        <f t="shared" si="14"/>
        <v>0.01810089021</v>
      </c>
      <c r="J58" s="22">
        <f t="shared" si="15"/>
        <v>0.01711924439</v>
      </c>
      <c r="K58" s="22">
        <f t="shared" si="16"/>
        <v>0.01547158584</v>
      </c>
      <c r="L58" s="22">
        <f t="shared" si="17"/>
        <v>0.01589727912</v>
      </c>
      <c r="M58" s="22">
        <f t="shared" si="18"/>
        <v>0.01228501229</v>
      </c>
      <c r="N58" s="22">
        <f t="shared" si="19"/>
        <v>0.004007398274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2.75" customHeight="1">
      <c r="A59" s="22"/>
      <c r="B59" s="22"/>
      <c r="C59" s="22">
        <f t="shared" si="8"/>
        <v>0.01272487933</v>
      </c>
      <c r="D59" s="22">
        <f t="shared" si="9"/>
        <v>0.01835273053</v>
      </c>
      <c r="E59" s="22">
        <f t="shared" si="10"/>
        <v>0.01902993734</v>
      </c>
      <c r="F59" s="22">
        <f t="shared" si="11"/>
        <v>0.01188001188</v>
      </c>
      <c r="G59" s="22">
        <f t="shared" si="12"/>
        <v>0.01464435146</v>
      </c>
      <c r="H59" s="22">
        <f t="shared" si="13"/>
        <v>0.01479022034</v>
      </c>
      <c r="I59" s="22">
        <f t="shared" si="14"/>
        <v>0.01454005935</v>
      </c>
      <c r="J59" s="22">
        <f t="shared" si="15"/>
        <v>0.01534828808</v>
      </c>
      <c r="K59" s="22">
        <f t="shared" si="16"/>
        <v>0.01547158584</v>
      </c>
      <c r="L59" s="22">
        <f t="shared" si="17"/>
        <v>0.01864873127</v>
      </c>
      <c r="M59" s="22">
        <f t="shared" si="18"/>
        <v>0.01504914005</v>
      </c>
      <c r="N59" s="22">
        <f t="shared" si="19"/>
        <v>0.00215782984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2.75" customHeight="1">
      <c r="A60" s="22"/>
      <c r="B60" s="22"/>
      <c r="C60" s="22">
        <f t="shared" si="8"/>
        <v>0.01733216323</v>
      </c>
      <c r="D60" s="22">
        <f t="shared" si="9"/>
        <v>0.01432408236</v>
      </c>
      <c r="E60" s="22">
        <f t="shared" si="10"/>
        <v>0.021118589</v>
      </c>
      <c r="F60" s="22">
        <f t="shared" si="11"/>
        <v>0.004752004752</v>
      </c>
      <c r="G60" s="22">
        <f t="shared" si="12"/>
        <v>0.00478182905</v>
      </c>
      <c r="H60" s="22">
        <f t="shared" si="13"/>
        <v>0.00392393601</v>
      </c>
      <c r="I60" s="22">
        <f t="shared" si="14"/>
        <v>0.00296735905</v>
      </c>
      <c r="J60" s="22">
        <f t="shared" si="15"/>
        <v>0.003837072019</v>
      </c>
      <c r="K60" s="22">
        <f t="shared" si="16"/>
        <v>0.002082713478</v>
      </c>
      <c r="L60" s="22">
        <f t="shared" si="17"/>
        <v>0.00397431978</v>
      </c>
      <c r="M60" s="22">
        <f t="shared" si="18"/>
        <v>0.003071253071</v>
      </c>
      <c r="N60" s="22">
        <f t="shared" si="19"/>
        <v>0.003082614057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2.75"/>
    <col customWidth="1" min="3" max="15" width="9.13"/>
    <col customWidth="1" min="16" max="26" width="8.63"/>
  </cols>
  <sheetData>
    <row r="1" ht="12.75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2.75" customHeight="1">
      <c r="A2" s="22" t="s">
        <v>0</v>
      </c>
      <c r="B2" s="22" t="s"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2.7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2.75" customHeight="1">
      <c r="A4" s="22" t="s">
        <v>2</v>
      </c>
      <c r="B4" s="22" t="s">
        <v>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2.75" customHeight="1">
      <c r="A5" s="22" t="s">
        <v>4</v>
      </c>
      <c r="B5" s="22" t="s">
        <v>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2.75" customHeight="1">
      <c r="A6" s="22" t="s">
        <v>6</v>
      </c>
      <c r="B6" s="22" t="s">
        <v>149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2.75" customHeight="1">
      <c r="A7" s="22" t="s">
        <v>8</v>
      </c>
      <c r="B7" s="2">
        <v>45994.0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2.75" customHeight="1">
      <c r="A8" s="22" t="s">
        <v>9</v>
      </c>
      <c r="B8" s="3">
        <v>0.6051041666666667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2.75" customHeight="1">
      <c r="A9" s="22" t="s">
        <v>10</v>
      </c>
      <c r="B9" s="22" t="s">
        <v>11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2.75" customHeight="1">
      <c r="A10" s="22" t="s">
        <v>12</v>
      </c>
      <c r="B10" s="22">
        <v>1803065.0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2.75" customHeight="1">
      <c r="A11" s="22" t="s">
        <v>13</v>
      </c>
      <c r="B11" s="22" t="s">
        <v>14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2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2.75" customHeight="1">
      <c r="A13" s="4" t="s">
        <v>15</v>
      </c>
      <c r="B13" s="5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2.75" customHeight="1">
      <c r="A14" s="22" t="s">
        <v>16</v>
      </c>
      <c r="B14" s="22" t="s">
        <v>17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2.75" customHeight="1">
      <c r="A15" s="22" t="s">
        <v>18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2.75" customHeight="1">
      <c r="A16" s="22" t="s">
        <v>19</v>
      </c>
      <c r="B16" s="22" t="s">
        <v>20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2.75" customHeight="1">
      <c r="A17" s="22"/>
      <c r="B17" s="22" t="s">
        <v>21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2.75" customHeight="1">
      <c r="A18" s="22"/>
      <c r="B18" s="22" t="s">
        <v>22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2.75" customHeight="1">
      <c r="A19" s="22"/>
      <c r="B19" s="22" t="s">
        <v>23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2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2.75" customHeight="1">
      <c r="A21" s="4" t="s">
        <v>24</v>
      </c>
      <c r="B21" s="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2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2.75" customHeight="1">
      <c r="A23" s="22"/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2.75" customHeight="1">
      <c r="A24" s="22"/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2.75" customHeight="1">
      <c r="A25" s="22"/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2.75" customHeight="1">
      <c r="A26" s="22"/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2.75" customHeight="1">
      <c r="A27" s="22"/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2.75" customHeight="1">
      <c r="A28" s="22"/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2.75" customHeight="1">
      <c r="A29" s="22"/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2.75" customHeight="1">
      <c r="A30" s="22"/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2.75" customHeight="1">
      <c r="A31" s="22"/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2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2.75" customHeight="1">
      <c r="A33" s="4" t="s">
        <v>130</v>
      </c>
      <c r="B33" s="5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2.75" customHeight="1">
      <c r="A34" s="22" t="s">
        <v>131</v>
      </c>
      <c r="B34" s="22">
        <v>24.0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2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2.75" customHeight="1">
      <c r="A36" s="22"/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2.75" customHeight="1">
      <c r="A37" s="22"/>
      <c r="B37" s="7" t="s">
        <v>25</v>
      </c>
      <c r="C37" s="10">
        <v>0.098</v>
      </c>
      <c r="D37" s="10">
        <v>0.097</v>
      </c>
      <c r="E37" s="10">
        <v>0.098</v>
      </c>
      <c r="F37" s="10">
        <v>0.097</v>
      </c>
      <c r="G37" s="10">
        <v>0.096</v>
      </c>
      <c r="H37" s="10">
        <v>0.098</v>
      </c>
      <c r="I37" s="10">
        <v>0.097</v>
      </c>
      <c r="J37" s="10">
        <v>0.108</v>
      </c>
      <c r="K37" s="10">
        <v>0.097</v>
      </c>
      <c r="L37" s="10">
        <v>0.098</v>
      </c>
      <c r="M37" s="10">
        <v>0.098</v>
      </c>
      <c r="N37" s="10">
        <v>0.099</v>
      </c>
      <c r="O37" s="9">
        <v>600.0</v>
      </c>
      <c r="P37" s="22">
        <f>AVERAGE(C37:N37)</f>
        <v>0.09841666667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2.75" customHeight="1">
      <c r="A38" s="22"/>
      <c r="B38" s="7" t="s">
        <v>39</v>
      </c>
      <c r="C38" s="12">
        <v>1.158</v>
      </c>
      <c r="D38" s="12">
        <v>1.188</v>
      </c>
      <c r="E38" s="12">
        <v>1.175</v>
      </c>
      <c r="F38" s="12">
        <v>1.161</v>
      </c>
      <c r="G38" s="12">
        <v>1.169</v>
      </c>
      <c r="H38" s="12">
        <v>1.172</v>
      </c>
      <c r="I38" s="12">
        <v>1.21</v>
      </c>
      <c r="J38" s="12">
        <v>1.212</v>
      </c>
      <c r="K38" s="12">
        <v>1.206</v>
      </c>
      <c r="L38" s="12">
        <v>1.176</v>
      </c>
      <c r="M38" s="12">
        <v>1.181</v>
      </c>
      <c r="N38" s="12">
        <v>1.167</v>
      </c>
      <c r="O38" s="9">
        <v>600.0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2.75" customHeight="1">
      <c r="A39" s="22"/>
      <c r="B39" s="7" t="s">
        <v>52</v>
      </c>
      <c r="C39" s="12">
        <v>1.15</v>
      </c>
      <c r="D39" s="12">
        <v>1.156</v>
      </c>
      <c r="E39" s="12">
        <v>1.156</v>
      </c>
      <c r="F39" s="12">
        <v>1.139</v>
      </c>
      <c r="G39" s="12">
        <v>1.145</v>
      </c>
      <c r="H39" s="12">
        <v>1.148</v>
      </c>
      <c r="I39" s="12">
        <v>1.152</v>
      </c>
      <c r="J39" s="12">
        <v>1.16</v>
      </c>
      <c r="K39" s="12">
        <v>1.152</v>
      </c>
      <c r="L39" s="13">
        <v>1.129</v>
      </c>
      <c r="M39" s="12">
        <v>1.14</v>
      </c>
      <c r="N39" s="13">
        <v>1.121</v>
      </c>
      <c r="O39" s="9">
        <v>600.0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2.75" customHeight="1">
      <c r="A40" s="22"/>
      <c r="B40" s="7" t="s">
        <v>65</v>
      </c>
      <c r="C40" s="13">
        <v>1.115</v>
      </c>
      <c r="D40" s="13">
        <v>1.118</v>
      </c>
      <c r="E40" s="13">
        <v>1.121</v>
      </c>
      <c r="F40" s="13">
        <v>1.113</v>
      </c>
      <c r="G40" s="13">
        <v>1.121</v>
      </c>
      <c r="H40" s="13">
        <v>1.119</v>
      </c>
      <c r="I40" s="13">
        <v>1.098</v>
      </c>
      <c r="J40" s="13">
        <v>1.105</v>
      </c>
      <c r="K40" s="13">
        <v>1.097</v>
      </c>
      <c r="L40" s="13">
        <v>1.107</v>
      </c>
      <c r="M40" s="13">
        <v>1.097</v>
      </c>
      <c r="N40" s="13">
        <v>1.097</v>
      </c>
      <c r="O40" s="9">
        <v>600.0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2.75" customHeight="1">
      <c r="A41" s="22"/>
      <c r="B41" s="7" t="s">
        <v>78</v>
      </c>
      <c r="C41" s="10">
        <v>0.165</v>
      </c>
      <c r="D41" s="14">
        <v>0.203</v>
      </c>
      <c r="E41" s="14">
        <v>0.229</v>
      </c>
      <c r="F41" s="10">
        <v>0.136</v>
      </c>
      <c r="G41" s="10">
        <v>0.134</v>
      </c>
      <c r="H41" s="10">
        <v>0.132</v>
      </c>
      <c r="I41" s="10">
        <v>0.126</v>
      </c>
      <c r="J41" s="10">
        <v>0.123</v>
      </c>
      <c r="K41" s="10">
        <v>0.122</v>
      </c>
      <c r="L41" s="10">
        <v>0.13</v>
      </c>
      <c r="M41" s="10">
        <v>0.128</v>
      </c>
      <c r="N41" s="10">
        <v>0.128</v>
      </c>
      <c r="O41" s="9">
        <v>600.0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2.75" customHeight="1">
      <c r="A42" s="22"/>
      <c r="B42" s="7" t="s">
        <v>91</v>
      </c>
      <c r="C42" s="10">
        <v>0.113</v>
      </c>
      <c r="D42" s="10">
        <v>0.107</v>
      </c>
      <c r="E42" s="10">
        <v>0.105</v>
      </c>
      <c r="F42" s="10">
        <v>0.098</v>
      </c>
      <c r="G42" s="10">
        <v>0.104</v>
      </c>
      <c r="H42" s="10">
        <v>0.097</v>
      </c>
      <c r="I42" s="10">
        <v>0.103</v>
      </c>
      <c r="J42" s="10">
        <v>0.099</v>
      </c>
      <c r="K42" s="10">
        <v>0.102</v>
      </c>
      <c r="L42" s="10">
        <v>0.103</v>
      </c>
      <c r="M42" s="10">
        <v>0.102</v>
      </c>
      <c r="N42" s="10">
        <v>0.102</v>
      </c>
      <c r="O42" s="9">
        <v>600.0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2.75" customHeight="1">
      <c r="A43" s="22"/>
      <c r="B43" s="7" t="s">
        <v>104</v>
      </c>
      <c r="C43" s="10">
        <v>0.121</v>
      </c>
      <c r="D43" s="10">
        <v>0.119</v>
      </c>
      <c r="E43" s="10">
        <v>0.112</v>
      </c>
      <c r="F43" s="10">
        <v>0.106</v>
      </c>
      <c r="G43" s="10">
        <v>0.109</v>
      </c>
      <c r="H43" s="10">
        <v>0.104</v>
      </c>
      <c r="I43" s="10">
        <v>0.101</v>
      </c>
      <c r="J43" s="10">
        <v>0.1</v>
      </c>
      <c r="K43" s="10">
        <v>0.099</v>
      </c>
      <c r="L43" s="10">
        <v>0.101</v>
      </c>
      <c r="M43" s="10">
        <v>0.091</v>
      </c>
      <c r="N43" s="10">
        <v>0.099</v>
      </c>
      <c r="O43" s="9">
        <v>600.0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2.75" customHeight="1">
      <c r="A44" s="22"/>
      <c r="B44" s="7" t="s">
        <v>117</v>
      </c>
      <c r="C44" s="10">
        <v>0.135</v>
      </c>
      <c r="D44" s="10">
        <v>0.127</v>
      </c>
      <c r="E44" s="10">
        <v>0.124</v>
      </c>
      <c r="F44" s="10">
        <v>0.108</v>
      </c>
      <c r="G44" s="10">
        <v>0.103</v>
      </c>
      <c r="H44" s="10">
        <v>0.108</v>
      </c>
      <c r="I44" s="10">
        <v>0.099</v>
      </c>
      <c r="J44" s="10">
        <v>0.1</v>
      </c>
      <c r="K44" s="10">
        <v>0.1</v>
      </c>
      <c r="L44" s="10">
        <v>0.102</v>
      </c>
      <c r="M44" s="10">
        <v>0.1</v>
      </c>
      <c r="N44" s="10">
        <v>0.103</v>
      </c>
      <c r="O44" s="9">
        <v>600.0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2.75" customHeight="1">
      <c r="A46" s="22"/>
      <c r="B46" s="22"/>
      <c r="C46" s="22">
        <f t="shared" ref="C46:N46" si="1">C38-$P$37</f>
        <v>1.059583333</v>
      </c>
      <c r="D46" s="22">
        <f t="shared" si="1"/>
        <v>1.089583333</v>
      </c>
      <c r="E46" s="22">
        <f t="shared" si="1"/>
        <v>1.076583333</v>
      </c>
      <c r="F46" s="22">
        <f t="shared" si="1"/>
        <v>1.062583333</v>
      </c>
      <c r="G46" s="22">
        <f t="shared" si="1"/>
        <v>1.070583333</v>
      </c>
      <c r="H46" s="22">
        <f t="shared" si="1"/>
        <v>1.073583333</v>
      </c>
      <c r="I46" s="22">
        <f t="shared" si="1"/>
        <v>1.111583333</v>
      </c>
      <c r="J46" s="22">
        <f t="shared" si="1"/>
        <v>1.113583333</v>
      </c>
      <c r="K46" s="22">
        <f t="shared" si="1"/>
        <v>1.107583333</v>
      </c>
      <c r="L46" s="22">
        <f t="shared" si="1"/>
        <v>1.077583333</v>
      </c>
      <c r="M46" s="22">
        <f t="shared" si="1"/>
        <v>1.082583333</v>
      </c>
      <c r="N46" s="22">
        <f t="shared" si="1"/>
        <v>1.068583333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2.75" customHeight="1">
      <c r="A47" s="22"/>
      <c r="B47" s="22"/>
      <c r="C47" s="22">
        <f t="shared" ref="C47:N47" si="2">C39-$P$37</f>
        <v>1.051583333</v>
      </c>
      <c r="D47" s="22">
        <f t="shared" si="2"/>
        <v>1.057583333</v>
      </c>
      <c r="E47" s="22">
        <f t="shared" si="2"/>
        <v>1.057583333</v>
      </c>
      <c r="F47" s="22">
        <f t="shared" si="2"/>
        <v>1.040583333</v>
      </c>
      <c r="G47" s="22">
        <f t="shared" si="2"/>
        <v>1.046583333</v>
      </c>
      <c r="H47" s="22">
        <f t="shared" si="2"/>
        <v>1.049583333</v>
      </c>
      <c r="I47" s="22">
        <f t="shared" si="2"/>
        <v>1.053583333</v>
      </c>
      <c r="J47" s="22">
        <f t="shared" si="2"/>
        <v>1.061583333</v>
      </c>
      <c r="K47" s="22">
        <f t="shared" si="2"/>
        <v>1.053583333</v>
      </c>
      <c r="L47" s="22">
        <f t="shared" si="2"/>
        <v>1.030583333</v>
      </c>
      <c r="M47" s="22">
        <f t="shared" si="2"/>
        <v>1.041583333</v>
      </c>
      <c r="N47" s="22">
        <f t="shared" si="2"/>
        <v>1.022583333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2.75" customHeight="1">
      <c r="A48" s="22"/>
      <c r="B48" s="22"/>
      <c r="C48" s="22">
        <f t="shared" ref="C48:N48" si="3">C40-$P$37</f>
        <v>1.016583333</v>
      </c>
      <c r="D48" s="22">
        <f t="shared" si="3"/>
        <v>1.019583333</v>
      </c>
      <c r="E48" s="22">
        <f t="shared" si="3"/>
        <v>1.022583333</v>
      </c>
      <c r="F48" s="22">
        <f t="shared" si="3"/>
        <v>1.014583333</v>
      </c>
      <c r="G48" s="22">
        <f t="shared" si="3"/>
        <v>1.022583333</v>
      </c>
      <c r="H48" s="22">
        <f t="shared" si="3"/>
        <v>1.020583333</v>
      </c>
      <c r="I48" s="22">
        <f t="shared" si="3"/>
        <v>0.9995833333</v>
      </c>
      <c r="J48" s="22">
        <f t="shared" si="3"/>
        <v>1.006583333</v>
      </c>
      <c r="K48" s="22">
        <f t="shared" si="3"/>
        <v>0.9985833333</v>
      </c>
      <c r="L48" s="22">
        <f t="shared" si="3"/>
        <v>1.008583333</v>
      </c>
      <c r="M48" s="22">
        <f t="shared" si="3"/>
        <v>0.9985833333</v>
      </c>
      <c r="N48" s="22">
        <f t="shared" si="3"/>
        <v>0.9985833333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2.75" customHeight="1">
      <c r="A49" s="22"/>
      <c r="B49" s="22"/>
      <c r="C49" s="22">
        <f t="shared" ref="C49:N49" si="4">C41-$P$37</f>
        <v>0.06658333333</v>
      </c>
      <c r="D49" s="22">
        <f t="shared" si="4"/>
        <v>0.1045833333</v>
      </c>
      <c r="E49" s="22">
        <f t="shared" si="4"/>
        <v>0.1305833333</v>
      </c>
      <c r="F49" s="22">
        <f t="shared" si="4"/>
        <v>0.03758333333</v>
      </c>
      <c r="G49" s="22">
        <f t="shared" si="4"/>
        <v>0.03558333333</v>
      </c>
      <c r="H49" s="22">
        <f t="shared" si="4"/>
        <v>0.03358333333</v>
      </c>
      <c r="I49" s="22">
        <f t="shared" si="4"/>
        <v>0.02758333333</v>
      </c>
      <c r="J49" s="22">
        <f t="shared" si="4"/>
        <v>0.02458333333</v>
      </c>
      <c r="K49" s="22">
        <f t="shared" si="4"/>
        <v>0.02358333333</v>
      </c>
      <c r="L49" s="22">
        <f t="shared" si="4"/>
        <v>0.03158333333</v>
      </c>
      <c r="M49" s="22">
        <f t="shared" si="4"/>
        <v>0.02958333333</v>
      </c>
      <c r="N49" s="22">
        <f t="shared" si="4"/>
        <v>0.02958333333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2.75" customHeight="1">
      <c r="A50" s="22"/>
      <c r="B50" s="22"/>
      <c r="C50" s="22">
        <f t="shared" ref="C50:N50" si="5">C42-$P$37</f>
        <v>0.01458333333</v>
      </c>
      <c r="D50" s="22">
        <f t="shared" si="5"/>
        <v>0.008583333333</v>
      </c>
      <c r="E50" s="22">
        <f t="shared" si="5"/>
        <v>0.006583333333</v>
      </c>
      <c r="F50" s="22">
        <f t="shared" si="5"/>
        <v>-0.0004166666667</v>
      </c>
      <c r="G50" s="22">
        <f t="shared" si="5"/>
        <v>0.005583333333</v>
      </c>
      <c r="H50" s="22">
        <f t="shared" si="5"/>
        <v>-0.001416666667</v>
      </c>
      <c r="I50" s="22">
        <f t="shared" si="5"/>
        <v>0.004583333333</v>
      </c>
      <c r="J50" s="22">
        <f t="shared" si="5"/>
        <v>0.0005833333333</v>
      </c>
      <c r="K50" s="22">
        <f t="shared" si="5"/>
        <v>0.003583333333</v>
      </c>
      <c r="L50" s="22">
        <f t="shared" si="5"/>
        <v>0.004583333333</v>
      </c>
      <c r="M50" s="22">
        <f t="shared" si="5"/>
        <v>0.003583333333</v>
      </c>
      <c r="N50" s="22">
        <f t="shared" si="5"/>
        <v>0.003583333333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2.75" customHeight="1">
      <c r="A51" s="22"/>
      <c r="B51" s="22"/>
      <c r="C51" s="22">
        <f t="shared" ref="C51:N51" si="6">C43-$P$37</f>
        <v>0.02258333333</v>
      </c>
      <c r="D51" s="22">
        <f t="shared" si="6"/>
        <v>0.02058333333</v>
      </c>
      <c r="E51" s="22">
        <f t="shared" si="6"/>
        <v>0.01358333333</v>
      </c>
      <c r="F51" s="22">
        <f t="shared" si="6"/>
        <v>0.007583333333</v>
      </c>
      <c r="G51" s="22">
        <f t="shared" si="6"/>
        <v>0.01058333333</v>
      </c>
      <c r="H51" s="22">
        <f t="shared" si="6"/>
        <v>0.005583333333</v>
      </c>
      <c r="I51" s="22">
        <f t="shared" si="6"/>
        <v>0.002583333333</v>
      </c>
      <c r="J51" s="22">
        <f t="shared" si="6"/>
        <v>0.001583333333</v>
      </c>
      <c r="K51" s="22">
        <f t="shared" si="6"/>
        <v>0.0005833333333</v>
      </c>
      <c r="L51" s="22">
        <f t="shared" si="6"/>
        <v>0.002583333333</v>
      </c>
      <c r="M51" s="22">
        <f t="shared" si="6"/>
        <v>-0.007416666667</v>
      </c>
      <c r="N51" s="22">
        <f t="shared" si="6"/>
        <v>0.0005833333333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2.75" customHeight="1">
      <c r="A52" s="22"/>
      <c r="B52" s="22"/>
      <c r="C52" s="22">
        <f t="shared" ref="C52:N52" si="7">C44-$P$37</f>
        <v>0.03658333333</v>
      </c>
      <c r="D52" s="22">
        <f t="shared" si="7"/>
        <v>0.02858333333</v>
      </c>
      <c r="E52" s="22">
        <f t="shared" si="7"/>
        <v>0.02558333333</v>
      </c>
      <c r="F52" s="22">
        <f t="shared" si="7"/>
        <v>0.009583333333</v>
      </c>
      <c r="G52" s="22">
        <f t="shared" si="7"/>
        <v>0.004583333333</v>
      </c>
      <c r="H52" s="22">
        <f t="shared" si="7"/>
        <v>0.009583333333</v>
      </c>
      <c r="I52" s="22">
        <f t="shared" si="7"/>
        <v>0.0005833333333</v>
      </c>
      <c r="J52" s="22">
        <f t="shared" si="7"/>
        <v>0.001583333333</v>
      </c>
      <c r="K52" s="22">
        <f t="shared" si="7"/>
        <v>0.001583333333</v>
      </c>
      <c r="L52" s="22">
        <f t="shared" si="7"/>
        <v>0.003583333333</v>
      </c>
      <c r="M52" s="22">
        <f t="shared" si="7"/>
        <v>0.001583333333</v>
      </c>
      <c r="N52" s="22">
        <f t="shared" si="7"/>
        <v>0.004583333333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2.75" customHeight="1">
      <c r="A54" s="22"/>
      <c r="B54" s="22"/>
      <c r="C54" s="22">
        <f t="shared" ref="C54:C60" si="8">C46/$C$46</f>
        <v>1</v>
      </c>
      <c r="D54" s="22">
        <f t="shared" ref="D54:D60" si="9">D46/$D$46</f>
        <v>1</v>
      </c>
      <c r="E54" s="22">
        <f t="shared" ref="E54:E60" si="10">E46/$E$46</f>
        <v>1</v>
      </c>
      <c r="F54" s="22">
        <f t="shared" ref="F54:F60" si="11">F46/$F$46</f>
        <v>1</v>
      </c>
      <c r="G54" s="22">
        <f t="shared" ref="G54:G60" si="12">G46/$G$46</f>
        <v>1</v>
      </c>
      <c r="H54" s="22">
        <f t="shared" ref="H54:H60" si="13">H46/$H$46</f>
        <v>1</v>
      </c>
      <c r="I54" s="22">
        <f t="shared" ref="I54:I60" si="14">I46/$I$46</f>
        <v>1</v>
      </c>
      <c r="J54" s="22">
        <f t="shared" ref="J54:J60" si="15">J46/$J$46</f>
        <v>1</v>
      </c>
      <c r="K54" s="22">
        <f t="shared" ref="K54:K60" si="16">K46/$K$46</f>
        <v>1</v>
      </c>
      <c r="L54" s="22">
        <f t="shared" ref="L54:L60" si="17">L46/$L$46</f>
        <v>1</v>
      </c>
      <c r="M54" s="22">
        <f t="shared" ref="M54:M60" si="18">M46/$M$46</f>
        <v>1</v>
      </c>
      <c r="N54" s="22">
        <f t="shared" ref="N54:N60" si="19">N46/$N$46</f>
        <v>1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2.75" customHeight="1">
      <c r="A55" s="22"/>
      <c r="B55" s="22"/>
      <c r="C55" s="22">
        <f t="shared" si="8"/>
        <v>0.9924498624</v>
      </c>
      <c r="D55" s="22">
        <f t="shared" si="9"/>
        <v>0.9706309751</v>
      </c>
      <c r="E55" s="22">
        <f t="shared" si="10"/>
        <v>0.9823515752</v>
      </c>
      <c r="F55" s="22">
        <f t="shared" si="11"/>
        <v>0.9792957415</v>
      </c>
      <c r="G55" s="22">
        <f t="shared" si="12"/>
        <v>0.9775823149</v>
      </c>
      <c r="H55" s="22">
        <f t="shared" si="13"/>
        <v>0.9776449585</v>
      </c>
      <c r="I55" s="22">
        <f t="shared" si="14"/>
        <v>0.9478221756</v>
      </c>
      <c r="J55" s="22">
        <f t="shared" si="15"/>
        <v>0.9533038988</v>
      </c>
      <c r="K55" s="22">
        <f t="shared" si="16"/>
        <v>0.9512452035</v>
      </c>
      <c r="L55" s="22">
        <f t="shared" si="17"/>
        <v>0.9563838837</v>
      </c>
      <c r="M55" s="22">
        <f t="shared" si="18"/>
        <v>0.9621276268</v>
      </c>
      <c r="N55" s="22">
        <f t="shared" si="19"/>
        <v>0.9569523512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2.75" customHeight="1">
      <c r="A56" s="22"/>
      <c r="B56" s="22"/>
      <c r="C56" s="22">
        <f t="shared" si="8"/>
        <v>0.9594180102</v>
      </c>
      <c r="D56" s="22">
        <f t="shared" si="9"/>
        <v>0.9357552581</v>
      </c>
      <c r="E56" s="22">
        <f t="shared" si="10"/>
        <v>0.949841319</v>
      </c>
      <c r="F56" s="22">
        <f t="shared" si="11"/>
        <v>0.9548270724</v>
      </c>
      <c r="G56" s="22">
        <f t="shared" si="12"/>
        <v>0.9551646299</v>
      </c>
      <c r="H56" s="22">
        <f t="shared" si="13"/>
        <v>0.9506326166</v>
      </c>
      <c r="I56" s="22">
        <f t="shared" si="14"/>
        <v>0.8992428218</v>
      </c>
      <c r="J56" s="22">
        <f t="shared" si="15"/>
        <v>0.9039137918</v>
      </c>
      <c r="K56" s="22">
        <f t="shared" si="16"/>
        <v>0.9015875404</v>
      </c>
      <c r="L56" s="22">
        <f t="shared" si="17"/>
        <v>0.9359678292</v>
      </c>
      <c r="M56" s="22">
        <f t="shared" si="18"/>
        <v>0.9224078208</v>
      </c>
      <c r="N56" s="22">
        <f t="shared" si="19"/>
        <v>0.9344927084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2.75" customHeight="1">
      <c r="A57" s="22"/>
      <c r="B57" s="22"/>
      <c r="C57" s="22">
        <f t="shared" si="8"/>
        <v>0.06283916634</v>
      </c>
      <c r="D57" s="22">
        <f t="shared" si="9"/>
        <v>0.09598470363</v>
      </c>
      <c r="E57" s="22">
        <f t="shared" si="10"/>
        <v>0.1212942178</v>
      </c>
      <c r="F57" s="22">
        <f t="shared" si="11"/>
        <v>0.03536977492</v>
      </c>
      <c r="G57" s="22">
        <f t="shared" si="12"/>
        <v>0.03323733167</v>
      </c>
      <c r="H57" s="22">
        <f t="shared" si="13"/>
        <v>0.0312815338</v>
      </c>
      <c r="I57" s="22">
        <f t="shared" si="14"/>
        <v>0.02481445386</v>
      </c>
      <c r="J57" s="22">
        <f t="shared" si="15"/>
        <v>0.02207588116</v>
      </c>
      <c r="K57" s="22">
        <f t="shared" si="16"/>
        <v>0.02129260402</v>
      </c>
      <c r="L57" s="22">
        <f t="shared" si="17"/>
        <v>0.02930941149</v>
      </c>
      <c r="M57" s="22">
        <f t="shared" si="18"/>
        <v>0.02732661073</v>
      </c>
      <c r="N57" s="22">
        <f t="shared" si="19"/>
        <v>0.02768462918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2.75" customHeight="1">
      <c r="A58" s="22"/>
      <c r="B58" s="22"/>
      <c r="C58" s="22">
        <f t="shared" si="8"/>
        <v>0.01376327173</v>
      </c>
      <c r="D58" s="22">
        <f t="shared" si="9"/>
        <v>0.007877629063</v>
      </c>
      <c r="E58" s="22">
        <f t="shared" si="10"/>
        <v>0.006115024383</v>
      </c>
      <c r="F58" s="22">
        <f t="shared" si="11"/>
        <v>-0.0003921261078</v>
      </c>
      <c r="G58" s="22">
        <f t="shared" si="12"/>
        <v>0.005215225344</v>
      </c>
      <c r="H58" s="22">
        <f t="shared" si="13"/>
        <v>-0.001319568424</v>
      </c>
      <c r="I58" s="22">
        <f t="shared" si="14"/>
        <v>0.00412324762</v>
      </c>
      <c r="J58" s="22">
        <f t="shared" si="15"/>
        <v>0.0005238344683</v>
      </c>
      <c r="K58" s="22">
        <f t="shared" si="16"/>
        <v>0.003235271989</v>
      </c>
      <c r="L58" s="22">
        <f t="shared" si="17"/>
        <v>0.004253344676</v>
      </c>
      <c r="M58" s="22">
        <f t="shared" si="18"/>
        <v>0.003309983835</v>
      </c>
      <c r="N58" s="22">
        <f t="shared" si="19"/>
        <v>0.00335334945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2.75" customHeight="1">
      <c r="A59" s="22"/>
      <c r="B59" s="22"/>
      <c r="C59" s="22">
        <f t="shared" si="8"/>
        <v>0.02131340936</v>
      </c>
      <c r="D59" s="22">
        <f t="shared" si="9"/>
        <v>0.01889101338</v>
      </c>
      <c r="E59" s="22">
        <f t="shared" si="10"/>
        <v>0.01261707563</v>
      </c>
      <c r="F59" s="22">
        <f t="shared" si="11"/>
        <v>0.007136695161</v>
      </c>
      <c r="G59" s="22">
        <f t="shared" si="12"/>
        <v>0.009885576399</v>
      </c>
      <c r="H59" s="22">
        <f t="shared" si="13"/>
        <v>0.005200652022</v>
      </c>
      <c r="I59" s="22">
        <f t="shared" si="14"/>
        <v>0.002324012295</v>
      </c>
      <c r="J59" s="22">
        <f t="shared" si="15"/>
        <v>0.001421836414</v>
      </c>
      <c r="K59" s="22">
        <f t="shared" si="16"/>
        <v>0.0005266721842</v>
      </c>
      <c r="L59" s="22">
        <f t="shared" si="17"/>
        <v>0.002397339726</v>
      </c>
      <c r="M59" s="22">
        <f t="shared" si="18"/>
        <v>-0.006850896775</v>
      </c>
      <c r="N59" s="22">
        <f t="shared" si="19"/>
        <v>0.0005458940965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2.75" customHeight="1">
      <c r="A60" s="22"/>
      <c r="B60" s="22"/>
      <c r="C60" s="22">
        <f t="shared" si="8"/>
        <v>0.03452615022</v>
      </c>
      <c r="D60" s="22">
        <f t="shared" si="9"/>
        <v>0.0262332696</v>
      </c>
      <c r="E60" s="22">
        <f t="shared" si="10"/>
        <v>0.02376344918</v>
      </c>
      <c r="F60" s="22">
        <f t="shared" si="11"/>
        <v>0.009018900478</v>
      </c>
      <c r="G60" s="22">
        <f t="shared" si="12"/>
        <v>0.004281155133</v>
      </c>
      <c r="H60" s="22">
        <f t="shared" si="13"/>
        <v>0.008926492277</v>
      </c>
      <c r="I60" s="22">
        <f t="shared" si="14"/>
        <v>0.0005247769698</v>
      </c>
      <c r="J60" s="22">
        <f t="shared" si="15"/>
        <v>0.001421836414</v>
      </c>
      <c r="K60" s="22">
        <f t="shared" si="16"/>
        <v>0.001429538786</v>
      </c>
      <c r="L60" s="22">
        <f t="shared" si="17"/>
        <v>0.003325342201</v>
      </c>
      <c r="M60" s="22">
        <f t="shared" si="18"/>
        <v>0.001462550997</v>
      </c>
      <c r="N60" s="22">
        <f t="shared" si="19"/>
        <v>0.004289167901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Windows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