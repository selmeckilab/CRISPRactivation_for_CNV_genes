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">57067592</definedName>
  </definedNames>
  <calcPr/>
  <extLst>
    <ext uri="GoogleSheetsCustomDataVersion2">
      <go:sheetsCustomData xmlns:go="http://customooxmlschemas.google.com/" r:id="rId7" roundtripDataChecksum="AX7aHbBgUcmQ8NNe6tG1xgYlfnICXyjJIfEBfswdWkQ="/>
    </ext>
  </extLst>
</workbook>
</file>

<file path=xl/sharedStrings.xml><?xml version="1.0" encoding="utf-8"?>
<sst xmlns="http://schemas.openxmlformats.org/spreadsheetml/2006/main" count="76" uniqueCount="50">
  <si>
    <t>Software Version</t>
  </si>
  <si>
    <t>2.09.1</t>
  </si>
  <si>
    <t>Experiment File Path:</t>
  </si>
  <si>
    <t>C:\Users\Biotek2\Desktop\Selmecki Lab\Erika\2026_03_27_MIC_SET3_MCF.xpt</t>
  </si>
  <si>
    <t>Protocol File Path:</t>
  </si>
  <si>
    <t>C:\Users\Public\Documents\Protocols\Initialod_600.prt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</si>
  <si>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</si>
  <si>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</si>
  <si>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</si>
  <si>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</si>
  <si>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</si>
  <si>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</si>
  <si>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</si>
  <si>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</si>
  <si>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</si>
  <si>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</si>
  <si>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</si>
  <si>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</si>
  <si>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</si>
  <si>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</si>
  <si>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</si>
  <si>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</si>
  <si>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</si>
  <si>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</si>
  <si>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</si>
  <si>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</si>
  <si>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</si>
  <si>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</si>
  <si>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</si>
  <si>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</si>
  <si>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</si>
  <si>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</si>
  <si>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</si>
  <si>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</si>
  <si>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C26</t>
  </si>
  <si>
    <t>C27</t>
  </si>
  <si>
    <t>C36</t>
  </si>
  <si>
    <t>C37</t>
  </si>
  <si>
    <t>C21</t>
  </si>
  <si>
    <t>C22</t>
  </si>
  <si>
    <t>MCF</t>
  </si>
  <si>
    <t>no drug</t>
  </si>
  <si>
    <t>0.004 ug/ml</t>
  </si>
  <si>
    <t>0.008 ug/ml</t>
  </si>
  <si>
    <t>0.016 ug/ml</t>
  </si>
  <si>
    <t>0.032 ug/ml</t>
  </si>
  <si>
    <t>0.64 ug/ml</t>
  </si>
  <si>
    <t>0.128 ug/ml</t>
  </si>
  <si>
    <t>THAT IS A BUBBLE</t>
  </si>
  <si>
    <t>Thanks for the note, I will remove this from the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</si>
</sst>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  <fill>
      <patternFill patternType="solid">
        <fgColor rgb="FF60A0D1"/>
        <bgColor rgb="FF60A0D1"/>
      </patternFill>
    </fill>
    <fill>
      <patternFill patternType="solid">
        <fgColor rgb="FF428EC7"/>
        <bgColor rgb="FF428EC7"/>
      </patternFill>
    </fill>
    <fill>
      <patternFill patternType="solid">
        <fgColor rgb="FFBAD7EF"/>
        <bgColor rgb="FFBAD7EF"/>
      </patternFill>
    </fill>
    <fill>
      <patternFill patternType="solid">
        <fgColor rgb="FF9CC5E5"/>
        <bgColor rgb="FF9CC5E5"/>
      </patternFill>
    </fill>
    <fill>
      <patternFill patternType="solid">
        <fgColor rgb="FF5197CC"/>
        <bgColor rgb="FF5197CC"/>
      </patternFill>
    </fill>
    <fill>
      <patternFill patternType="solid">
        <fgColor rgb="FF6FA9D6"/>
        <bgColor rgb="FF6FA9D6"/>
      </patternFill>
    </fill>
    <fill>
      <patternFill patternType="solid">
        <fgColor rgb="FFC9E0F4"/>
        <bgColor rgb="FFC9E0F4"/>
      </patternFill>
    </fill>
    <fill>
      <patternFill patternType="solid">
        <fgColor rgb="FFABCEEA"/>
        <bgColor rgb="FFABCEEA"/>
      </patternFill>
    </fill>
    <fill>
      <patternFill patternType="solid">
        <fgColor rgb="FF8DBCE0"/>
        <bgColor rgb="FF8DBC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3" max="15" width="8.63"/>
    <col customWidth="1" min="16" max="16" width="14.38"/>
    <col customWidth="1" min="17" max="28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2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3">
        <v>46113.0</v>
      </c>
    </row>
    <row r="8" ht="12.75" customHeight="1">
      <c r="A8" s="1" t="s">
        <v>9</v>
      </c>
      <c r="B8" s="4">
        <v>0.6540972222222222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268425.0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5" t="s">
        <v>15</v>
      </c>
      <c r="B13" s="6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5" t="s">
        <v>24</v>
      </c>
      <c r="B21" s="6"/>
    </row>
    <row r="22" ht="12.75" customHeight="1">
      <c r="A22" s="1" t="s">
        <v>25</v>
      </c>
      <c r="B22" s="1">
        <v>29.0</v>
      </c>
    </row>
    <row r="23" ht="12.75" customHeight="1"/>
    <row r="24" ht="12.75" customHeight="1">
      <c r="B24" s="7"/>
      <c r="C24" s="8">
        <v>1.0</v>
      </c>
      <c r="D24" s="8">
        <v>2.0</v>
      </c>
      <c r="E24" s="8">
        <v>3.0</v>
      </c>
      <c r="F24" s="8">
        <v>4.0</v>
      </c>
      <c r="G24" s="8">
        <v>5.0</v>
      </c>
      <c r="H24" s="8">
        <v>6.0</v>
      </c>
      <c r="I24" s="8">
        <v>7.0</v>
      </c>
      <c r="J24" s="8">
        <v>8.0</v>
      </c>
      <c r="K24" s="8">
        <v>9.0</v>
      </c>
      <c r="L24" s="8">
        <v>10.0</v>
      </c>
      <c r="M24" s="8">
        <v>11.0</v>
      </c>
      <c r="N24" s="8">
        <v>12.0</v>
      </c>
    </row>
    <row r="25" ht="12.75" customHeight="1">
      <c r="B25" s="8" t="s">
        <v>26</v>
      </c>
      <c r="C25" s="9">
        <v>0.104</v>
      </c>
      <c r="D25" s="9">
        <v>0.104</v>
      </c>
      <c r="E25" s="9">
        <v>0.105</v>
      </c>
      <c r="F25" s="9">
        <v>0.105</v>
      </c>
      <c r="G25" s="9">
        <v>0.105</v>
      </c>
      <c r="H25" s="9">
        <v>0.109</v>
      </c>
      <c r="I25" s="9">
        <v>0.105</v>
      </c>
      <c r="J25" s="9">
        <v>0.107</v>
      </c>
      <c r="K25" s="9">
        <v>0.112</v>
      </c>
      <c r="L25" s="9">
        <v>0.103</v>
      </c>
      <c r="M25" s="9">
        <v>0.104</v>
      </c>
      <c r="N25" s="9">
        <v>0.102</v>
      </c>
      <c r="O25" s="10">
        <v>600.0</v>
      </c>
      <c r="P25" s="1">
        <f>AVERAGE(C25:N25)</f>
        <v>0.1054166667</v>
      </c>
    </row>
    <row r="26" ht="12.75" customHeight="1">
      <c r="B26" s="8" t="s">
        <v>27</v>
      </c>
      <c r="C26" s="11">
        <v>1.402</v>
      </c>
      <c r="D26" s="11">
        <v>1.406</v>
      </c>
      <c r="E26" s="11">
        <v>1.405</v>
      </c>
      <c r="F26" s="11">
        <v>1.419</v>
      </c>
      <c r="G26" s="11">
        <v>1.422</v>
      </c>
      <c r="H26" s="11">
        <v>1.418</v>
      </c>
      <c r="I26" s="11">
        <v>1.477</v>
      </c>
      <c r="J26" s="11">
        <v>1.465</v>
      </c>
      <c r="K26" s="11">
        <v>1.457</v>
      </c>
      <c r="L26" s="11">
        <v>1.439</v>
      </c>
      <c r="M26" s="11">
        <v>1.412</v>
      </c>
      <c r="N26" s="11">
        <v>1.413</v>
      </c>
      <c r="O26" s="10">
        <v>600.0</v>
      </c>
    </row>
    <row r="27" ht="12.75" customHeight="1">
      <c r="B27" s="8" t="s">
        <v>28</v>
      </c>
      <c r="C27" s="11">
        <v>1.424</v>
      </c>
      <c r="D27" s="11">
        <v>1.412</v>
      </c>
      <c r="E27" s="11">
        <v>1.417</v>
      </c>
      <c r="F27" s="11">
        <v>1.414</v>
      </c>
      <c r="G27" s="11">
        <v>1.406</v>
      </c>
      <c r="H27" s="11">
        <v>1.412</v>
      </c>
      <c r="I27" s="11">
        <v>1.438</v>
      </c>
      <c r="J27" s="11">
        <v>1.437</v>
      </c>
      <c r="K27" s="11">
        <v>1.441</v>
      </c>
      <c r="L27" s="11">
        <v>1.414</v>
      </c>
      <c r="M27" s="11">
        <v>1.4</v>
      </c>
      <c r="N27" s="11">
        <v>1.389</v>
      </c>
      <c r="O27" s="10">
        <v>600.0</v>
      </c>
    </row>
    <row r="28" ht="12.75" customHeight="1">
      <c r="B28" s="8" t="s">
        <v>29</v>
      </c>
      <c r="C28" s="12">
        <v>1.373</v>
      </c>
      <c r="D28" s="11">
        <v>1.399</v>
      </c>
      <c r="E28" s="11">
        <v>1.394</v>
      </c>
      <c r="F28" s="11">
        <v>1.391</v>
      </c>
      <c r="G28" s="11">
        <v>1.398</v>
      </c>
      <c r="H28" s="11">
        <v>1.4</v>
      </c>
      <c r="I28" s="11">
        <v>1.395</v>
      </c>
      <c r="J28" s="11">
        <v>1.396</v>
      </c>
      <c r="K28" s="11">
        <v>1.403</v>
      </c>
      <c r="L28" s="12">
        <v>1.376</v>
      </c>
      <c r="M28" s="11">
        <v>1.378</v>
      </c>
      <c r="N28" s="12">
        <v>1.359</v>
      </c>
      <c r="O28" s="10">
        <v>600.0</v>
      </c>
    </row>
    <row r="29" ht="12.75" customHeight="1">
      <c r="B29" s="8" t="s">
        <v>30</v>
      </c>
      <c r="C29" s="13">
        <v>1.082</v>
      </c>
      <c r="D29" s="14">
        <v>1.269</v>
      </c>
      <c r="E29" s="14">
        <v>1.25</v>
      </c>
      <c r="F29" s="13">
        <v>1.014</v>
      </c>
      <c r="G29" s="14">
        <v>1.279</v>
      </c>
      <c r="H29" s="12">
        <v>1.299</v>
      </c>
      <c r="I29" s="15">
        <v>0.402</v>
      </c>
      <c r="J29" s="16">
        <v>0.599</v>
      </c>
      <c r="K29" s="15">
        <v>0.48</v>
      </c>
      <c r="L29" s="16">
        <v>0.621</v>
      </c>
      <c r="M29" s="17">
        <v>1.164</v>
      </c>
      <c r="N29" s="14">
        <v>1.218</v>
      </c>
      <c r="O29" s="10">
        <v>600.0</v>
      </c>
    </row>
    <row r="30" ht="12.75" customHeight="1">
      <c r="B30" s="8" t="s">
        <v>31</v>
      </c>
      <c r="C30" s="9">
        <v>0.118</v>
      </c>
      <c r="D30" s="9">
        <v>0.126</v>
      </c>
      <c r="E30" s="9">
        <v>0.128</v>
      </c>
      <c r="F30" s="9">
        <v>0.121</v>
      </c>
      <c r="G30" s="9">
        <v>0.13</v>
      </c>
      <c r="H30" s="9">
        <v>0.133</v>
      </c>
      <c r="I30" s="9">
        <v>0.106</v>
      </c>
      <c r="J30" s="9">
        <v>0.107</v>
      </c>
      <c r="K30" s="9">
        <v>0.107</v>
      </c>
      <c r="L30" s="9">
        <v>0.109</v>
      </c>
      <c r="M30" s="9">
        <v>0.128</v>
      </c>
      <c r="N30" s="9">
        <v>0.13</v>
      </c>
      <c r="O30" s="10">
        <v>600.0</v>
      </c>
    </row>
    <row r="31" ht="12.75" customHeight="1">
      <c r="B31" s="8" t="s">
        <v>32</v>
      </c>
      <c r="C31" s="9">
        <v>0.107</v>
      </c>
      <c r="D31" s="9">
        <v>0.105</v>
      </c>
      <c r="E31" s="9">
        <v>0.105</v>
      </c>
      <c r="F31" s="9">
        <v>0.105</v>
      </c>
      <c r="G31" s="9">
        <v>0.105</v>
      </c>
      <c r="H31" s="9">
        <v>0.104</v>
      </c>
      <c r="I31" s="9">
        <v>0.103</v>
      </c>
      <c r="J31" s="9">
        <v>0.101</v>
      </c>
      <c r="K31" s="9">
        <v>0.1</v>
      </c>
      <c r="L31" s="9">
        <v>0.103</v>
      </c>
      <c r="M31" s="9">
        <v>0.103</v>
      </c>
      <c r="N31" s="9">
        <v>0.104</v>
      </c>
      <c r="O31" s="10">
        <v>600.0</v>
      </c>
    </row>
    <row r="32" ht="12.75" customHeight="1">
      <c r="B32" s="8" t="s">
        <v>33</v>
      </c>
      <c r="C32" s="9">
        <v>0.105</v>
      </c>
      <c r="D32" s="9">
        <v>0.104</v>
      </c>
      <c r="E32" s="9">
        <v>0.105</v>
      </c>
      <c r="F32" s="9">
        <v>0.104</v>
      </c>
      <c r="G32" s="9">
        <v>0.102</v>
      </c>
      <c r="H32" s="9">
        <v>0.108</v>
      </c>
      <c r="I32" s="9">
        <v>0.104</v>
      </c>
      <c r="J32" s="9">
        <v>0.105</v>
      </c>
      <c r="K32" s="9">
        <v>0.102</v>
      </c>
      <c r="L32" s="9">
        <v>0.103</v>
      </c>
      <c r="M32" s="9">
        <v>0.101</v>
      </c>
      <c r="N32" s="9">
        <v>0.1</v>
      </c>
      <c r="O32" s="10">
        <v>600.0</v>
      </c>
    </row>
    <row r="33" ht="12.75" customHeight="1"/>
    <row r="34" ht="12.75" customHeight="1"/>
    <row r="35" ht="12.75" customHeight="1">
      <c r="C35" s="1">
        <f t="shared" ref="C35:N35" si="1">C26-$P$25</f>
        <v>1.296583333</v>
      </c>
      <c r="D35" s="1">
        <f t="shared" si="1"/>
        <v>1.300583333</v>
      </c>
      <c r="E35" s="1">
        <f t="shared" si="1"/>
        <v>1.299583333</v>
      </c>
      <c r="F35" s="1">
        <f t="shared" si="1"/>
        <v>1.313583333</v>
      </c>
      <c r="G35" s="1">
        <f t="shared" si="1"/>
        <v>1.316583333</v>
      </c>
      <c r="H35" s="1">
        <f t="shared" si="1"/>
        <v>1.312583333</v>
      </c>
      <c r="I35" s="1">
        <f t="shared" si="1"/>
        <v>1.371583333</v>
      </c>
      <c r="J35" s="1">
        <f t="shared" si="1"/>
        <v>1.359583333</v>
      </c>
      <c r="K35" s="1">
        <f t="shared" si="1"/>
        <v>1.351583333</v>
      </c>
      <c r="L35" s="1">
        <f t="shared" si="1"/>
        <v>1.333583333</v>
      </c>
      <c r="M35" s="1">
        <f t="shared" si="1"/>
        <v>1.306583333</v>
      </c>
      <c r="N35" s="1">
        <f t="shared" si="1"/>
        <v>1.307583333</v>
      </c>
    </row>
    <row r="36" ht="12.75" customHeight="1">
      <c r="C36" s="1">
        <f t="shared" ref="C36:N36" si="2">C27-$P$25</f>
        <v>1.318583333</v>
      </c>
      <c r="D36" s="1">
        <f t="shared" si="2"/>
        <v>1.306583333</v>
      </c>
      <c r="E36" s="1">
        <f t="shared" si="2"/>
        <v>1.311583333</v>
      </c>
      <c r="F36" s="1">
        <f t="shared" si="2"/>
        <v>1.308583333</v>
      </c>
      <c r="G36" s="1">
        <f t="shared" si="2"/>
        <v>1.300583333</v>
      </c>
      <c r="H36" s="1">
        <f t="shared" si="2"/>
        <v>1.306583333</v>
      </c>
      <c r="I36" s="1">
        <f t="shared" si="2"/>
        <v>1.332583333</v>
      </c>
      <c r="J36" s="1">
        <f t="shared" si="2"/>
        <v>1.331583333</v>
      </c>
      <c r="K36" s="1">
        <f t="shared" si="2"/>
        <v>1.335583333</v>
      </c>
      <c r="L36" s="1">
        <f t="shared" si="2"/>
        <v>1.308583333</v>
      </c>
      <c r="M36" s="1">
        <f t="shared" si="2"/>
        <v>1.294583333</v>
      </c>
      <c r="N36" s="1">
        <f t="shared" si="2"/>
        <v>1.283583333</v>
      </c>
    </row>
    <row r="37" ht="12.75" customHeight="1">
      <c r="C37" s="1">
        <f t="shared" ref="C37:N37" si="3">C28-$P$25</f>
        <v>1.267583333</v>
      </c>
      <c r="D37" s="1">
        <f t="shared" si="3"/>
        <v>1.293583333</v>
      </c>
      <c r="E37" s="1">
        <f t="shared" si="3"/>
        <v>1.288583333</v>
      </c>
      <c r="F37" s="1">
        <f t="shared" si="3"/>
        <v>1.285583333</v>
      </c>
      <c r="G37" s="1">
        <f t="shared" si="3"/>
        <v>1.292583333</v>
      </c>
      <c r="H37" s="1">
        <f t="shared" si="3"/>
        <v>1.294583333</v>
      </c>
      <c r="I37" s="1">
        <f t="shared" si="3"/>
        <v>1.289583333</v>
      </c>
      <c r="J37" s="1">
        <f t="shared" si="3"/>
        <v>1.290583333</v>
      </c>
      <c r="K37" s="1">
        <f t="shared" si="3"/>
        <v>1.297583333</v>
      </c>
      <c r="L37" s="1">
        <f t="shared" si="3"/>
        <v>1.270583333</v>
      </c>
      <c r="M37" s="1">
        <f t="shared" si="3"/>
        <v>1.272583333</v>
      </c>
      <c r="N37" s="1">
        <f t="shared" si="3"/>
        <v>1.253583333</v>
      </c>
    </row>
    <row r="38" ht="12.75" customHeight="1">
      <c r="C38" s="1">
        <f t="shared" ref="C38:N38" si="4">C29-$P$25</f>
        <v>0.9765833333</v>
      </c>
      <c r="D38" s="1">
        <f t="shared" si="4"/>
        <v>1.163583333</v>
      </c>
      <c r="E38" s="1">
        <f t="shared" si="4"/>
        <v>1.144583333</v>
      </c>
      <c r="F38" s="1">
        <f t="shared" si="4"/>
        <v>0.9085833333</v>
      </c>
      <c r="G38" s="1">
        <f t="shared" si="4"/>
        <v>1.173583333</v>
      </c>
      <c r="H38" s="1">
        <f t="shared" si="4"/>
        <v>1.193583333</v>
      </c>
      <c r="I38" s="1">
        <f t="shared" si="4"/>
        <v>0.2965833333</v>
      </c>
      <c r="J38" s="1">
        <f t="shared" si="4"/>
        <v>0.4935833333</v>
      </c>
      <c r="K38" s="1">
        <f t="shared" si="4"/>
        <v>0.3745833333</v>
      </c>
      <c r="L38" s="1">
        <f t="shared" si="4"/>
        <v>0.5155833333</v>
      </c>
      <c r="M38" s="1">
        <f t="shared" si="4"/>
        <v>1.058583333</v>
      </c>
      <c r="N38" s="1">
        <f t="shared" si="4"/>
        <v>1.112583333</v>
      </c>
    </row>
    <row r="39" ht="12.75" customHeight="1">
      <c r="C39" s="1">
        <f t="shared" ref="C39:N39" si="5">C30-$P$25</f>
        <v>0.01258333333</v>
      </c>
      <c r="D39" s="1">
        <f t="shared" si="5"/>
        <v>0.02058333333</v>
      </c>
      <c r="E39" s="1">
        <f t="shared" si="5"/>
        <v>0.02258333333</v>
      </c>
      <c r="F39" s="1">
        <f t="shared" si="5"/>
        <v>0.01558333333</v>
      </c>
      <c r="G39" s="1">
        <f t="shared" si="5"/>
        <v>0.02458333333</v>
      </c>
      <c r="H39" s="1">
        <f t="shared" si="5"/>
        <v>0.02758333333</v>
      </c>
      <c r="I39" s="1">
        <f t="shared" si="5"/>
        <v>0.0005833333333</v>
      </c>
      <c r="J39" s="1">
        <f t="shared" si="5"/>
        <v>0.001583333333</v>
      </c>
      <c r="K39" s="1">
        <f t="shared" si="5"/>
        <v>0.001583333333</v>
      </c>
      <c r="L39" s="1">
        <f t="shared" si="5"/>
        <v>0.003583333333</v>
      </c>
      <c r="M39" s="1">
        <f t="shared" si="5"/>
        <v>0.02258333333</v>
      </c>
      <c r="N39" s="1">
        <f t="shared" si="5"/>
        <v>0.02458333333</v>
      </c>
    </row>
    <row r="40" ht="12.75" customHeight="1">
      <c r="C40" s="1">
        <f t="shared" ref="C40:N40" si="6">C31-$P$25</f>
        <v>0.001583333333</v>
      </c>
      <c r="D40" s="1">
        <f t="shared" si="6"/>
        <v>-0.0004166666667</v>
      </c>
      <c r="E40" s="1">
        <f t="shared" si="6"/>
        <v>-0.0004166666667</v>
      </c>
      <c r="F40" s="1">
        <f t="shared" si="6"/>
        <v>-0.0004166666667</v>
      </c>
      <c r="G40" s="1">
        <f t="shared" si="6"/>
        <v>-0.0004166666667</v>
      </c>
      <c r="H40" s="1">
        <f t="shared" si="6"/>
        <v>-0.001416666667</v>
      </c>
      <c r="I40" s="1">
        <f t="shared" si="6"/>
        <v>-0.002416666667</v>
      </c>
      <c r="J40" s="1">
        <f t="shared" si="6"/>
        <v>-0.004416666667</v>
      </c>
      <c r="K40" s="1">
        <f t="shared" si="6"/>
        <v>-0.005416666667</v>
      </c>
      <c r="L40" s="1">
        <f t="shared" si="6"/>
        <v>-0.002416666667</v>
      </c>
      <c r="M40" s="1">
        <f t="shared" si="6"/>
        <v>-0.002416666667</v>
      </c>
      <c r="N40" s="1">
        <f t="shared" si="6"/>
        <v>-0.001416666667</v>
      </c>
    </row>
    <row r="41" ht="12.75" customHeight="1">
      <c r="C41" s="1">
        <f t="shared" ref="C41:N41" si="7">C32-$P$25</f>
        <v>-0.0004166666667</v>
      </c>
      <c r="D41" s="1">
        <f t="shared" si="7"/>
        <v>-0.001416666667</v>
      </c>
      <c r="E41" s="1">
        <f t="shared" si="7"/>
        <v>-0.0004166666667</v>
      </c>
      <c r="F41" s="1">
        <f t="shared" si="7"/>
        <v>-0.001416666667</v>
      </c>
      <c r="G41" s="1">
        <f t="shared" si="7"/>
        <v>-0.003416666667</v>
      </c>
      <c r="H41" s="1">
        <f t="shared" si="7"/>
        <v>0.002583333333</v>
      </c>
      <c r="I41" s="1">
        <f t="shared" si="7"/>
        <v>-0.001416666667</v>
      </c>
      <c r="J41" s="1">
        <f t="shared" si="7"/>
        <v>-0.0004166666667</v>
      </c>
      <c r="K41" s="1">
        <f t="shared" si="7"/>
        <v>-0.003416666667</v>
      </c>
      <c r="L41" s="1">
        <f t="shared" si="7"/>
        <v>-0.002416666667</v>
      </c>
      <c r="M41" s="1">
        <f t="shared" si="7"/>
        <v>-0.004416666667</v>
      </c>
      <c r="N41" s="1">
        <f t="shared" si="7"/>
        <v>-0.005416666667</v>
      </c>
    </row>
    <row r="42" ht="12.75" customHeight="1"/>
    <row r="43" ht="12.75" customHeight="1">
      <c r="C43" s="18">
        <v>2868.0</v>
      </c>
      <c r="D43" s="18" t="s">
        <v>34</v>
      </c>
      <c r="E43" s="18" t="s">
        <v>35</v>
      </c>
      <c r="F43" s="18">
        <v>2875.0</v>
      </c>
      <c r="G43" s="18" t="s">
        <v>36</v>
      </c>
      <c r="H43" s="18" t="s">
        <v>37</v>
      </c>
      <c r="I43" s="1">
        <v>2876.0</v>
      </c>
      <c r="J43" s="18" t="s">
        <v>38</v>
      </c>
      <c r="K43" s="18" t="s">
        <v>34</v>
      </c>
      <c r="L43" s="18">
        <v>5192.0</v>
      </c>
      <c r="M43" s="18" t="s">
        <v>38</v>
      </c>
      <c r="N43" s="18" t="s">
        <v>39</v>
      </c>
    </row>
    <row r="44" ht="12.75" customHeight="1"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P44" s="7" t="s">
        <v>40</v>
      </c>
      <c r="Q44" s="18">
        <v>2868.0</v>
      </c>
      <c r="R44" s="18" t="s">
        <v>34</v>
      </c>
      <c r="S44" s="18" t="s">
        <v>35</v>
      </c>
      <c r="T44" s="18">
        <v>2875.0</v>
      </c>
      <c r="U44" s="18" t="s">
        <v>36</v>
      </c>
      <c r="V44" s="18" t="s">
        <v>37</v>
      </c>
      <c r="W44" s="1">
        <v>2876.0</v>
      </c>
      <c r="X44" s="18" t="s">
        <v>38</v>
      </c>
      <c r="Y44" s="18" t="s">
        <v>34</v>
      </c>
      <c r="Z44" s="18">
        <v>5192.0</v>
      </c>
      <c r="AA44" s="18" t="s">
        <v>38</v>
      </c>
      <c r="AB44" s="18" t="s">
        <v>39</v>
      </c>
    </row>
    <row r="45" ht="12.75" customHeight="1">
      <c r="C45" s="1">
        <f t="shared" si="8"/>
        <v>1.016967671</v>
      </c>
      <c r="D45" s="1">
        <f t="shared" si="9"/>
        <v>1.004613315</v>
      </c>
      <c r="E45" s="1">
        <f t="shared" si="10"/>
        <v>1.009233729</v>
      </c>
      <c r="F45" s="1">
        <f t="shared" si="11"/>
        <v>0.996193618</v>
      </c>
      <c r="G45" s="1">
        <f t="shared" si="12"/>
        <v>0.9878473321</v>
      </c>
      <c r="H45" s="1">
        <f t="shared" si="13"/>
        <v>0.9954288617</v>
      </c>
      <c r="I45" s="1">
        <f t="shared" si="14"/>
        <v>0.9715657087</v>
      </c>
      <c r="J45" s="1">
        <f t="shared" si="15"/>
        <v>0.9794054551</v>
      </c>
      <c r="K45" s="1">
        <f t="shared" si="16"/>
        <v>0.9881620322</v>
      </c>
      <c r="L45" s="1">
        <f t="shared" si="17"/>
        <v>0.981253515</v>
      </c>
      <c r="M45" s="1">
        <f t="shared" si="18"/>
        <v>0.9908157408</v>
      </c>
      <c r="N45" s="1">
        <f t="shared" si="19"/>
        <v>0.9816455293</v>
      </c>
      <c r="P45" s="8" t="s">
        <v>41</v>
      </c>
      <c r="Q45" s="1">
        <f t="shared" ref="Q45:AB45" si="20">AVERAGE(C44,C53,C62)</f>
        <v>1</v>
      </c>
      <c r="R45" s="1">
        <f t="shared" si="20"/>
        <v>1</v>
      </c>
      <c r="S45" s="1">
        <f t="shared" si="20"/>
        <v>1</v>
      </c>
      <c r="T45" s="1">
        <f t="shared" si="20"/>
        <v>1</v>
      </c>
      <c r="U45" s="1">
        <f t="shared" si="20"/>
        <v>1</v>
      </c>
      <c r="V45" s="1">
        <f t="shared" si="20"/>
        <v>1</v>
      </c>
      <c r="W45" s="1">
        <f t="shared" si="20"/>
        <v>1</v>
      </c>
      <c r="X45" s="1">
        <f t="shared" si="20"/>
        <v>1</v>
      </c>
      <c r="Y45" s="1">
        <f t="shared" si="20"/>
        <v>1</v>
      </c>
      <c r="Z45" s="1">
        <f t="shared" si="20"/>
        <v>1</v>
      </c>
      <c r="AA45" s="1">
        <f t="shared" si="20"/>
        <v>1</v>
      </c>
      <c r="AB45" s="1">
        <f t="shared" si="20"/>
        <v>1</v>
      </c>
    </row>
    <row r="46" ht="12.75" customHeight="1">
      <c r="C46" s="1">
        <f t="shared" si="8"/>
        <v>0.977633524</v>
      </c>
      <c r="D46" s="1">
        <f t="shared" si="9"/>
        <v>0.9946177997</v>
      </c>
      <c r="E46" s="1">
        <f t="shared" si="10"/>
        <v>0.9915357486</v>
      </c>
      <c r="F46" s="1">
        <f t="shared" si="11"/>
        <v>0.9786842606</v>
      </c>
      <c r="G46" s="1">
        <f t="shared" si="12"/>
        <v>0.9817709982</v>
      </c>
      <c r="H46" s="1">
        <f t="shared" si="13"/>
        <v>0.986286585</v>
      </c>
      <c r="I46" s="1">
        <f t="shared" si="14"/>
        <v>0.9402150799</v>
      </c>
      <c r="J46" s="1">
        <f t="shared" si="15"/>
        <v>0.9492491572</v>
      </c>
      <c r="K46" s="1">
        <f t="shared" si="16"/>
        <v>0.9600468586</v>
      </c>
      <c r="L46" s="1">
        <f t="shared" si="17"/>
        <v>0.9527588577</v>
      </c>
      <c r="M46" s="1">
        <f t="shared" si="18"/>
        <v>0.9739779323</v>
      </c>
      <c r="N46" s="1">
        <f t="shared" si="19"/>
        <v>0.9587024409</v>
      </c>
      <c r="P46" s="8" t="s">
        <v>42</v>
      </c>
      <c r="Q46" s="1">
        <f t="shared" ref="Q46:AB46" si="21">AVERAGE(C45,C54,C63)</f>
        <v>1.006648631</v>
      </c>
      <c r="R46" s="1">
        <f t="shared" si="21"/>
        <v>1.012883463</v>
      </c>
      <c r="S46" s="1">
        <f t="shared" si="21"/>
        <v>0.999079315</v>
      </c>
      <c r="T46" s="1">
        <f t="shared" si="21"/>
        <v>0.9967509014</v>
      </c>
      <c r="U46" s="1">
        <f t="shared" si="21"/>
        <v>0.9911631878</v>
      </c>
      <c r="V46" s="1">
        <f t="shared" si="21"/>
        <v>0.9987297887</v>
      </c>
      <c r="W46" s="1">
        <f t="shared" si="21"/>
        <v>0.9837189179</v>
      </c>
      <c r="X46" s="1">
        <f t="shared" si="21"/>
        <v>0.9889741478</v>
      </c>
      <c r="Y46" s="1">
        <f t="shared" si="21"/>
        <v>0.9879529193</v>
      </c>
      <c r="Z46" s="1">
        <f t="shared" si="21"/>
        <v>0.9897476877</v>
      </c>
      <c r="AA46" s="1">
        <f t="shared" si="21"/>
        <v>0.9885509204</v>
      </c>
      <c r="AB46" s="1">
        <f t="shared" si="21"/>
        <v>0.9839423339</v>
      </c>
    </row>
    <row r="47" ht="12.75" customHeight="1">
      <c r="C47" s="1">
        <f t="shared" si="8"/>
        <v>0.7531975063</v>
      </c>
      <c r="D47" s="1">
        <f t="shared" si="9"/>
        <v>0.8946626514</v>
      </c>
      <c r="E47" s="1">
        <f t="shared" si="10"/>
        <v>0.8807310035</v>
      </c>
      <c r="F47" s="1">
        <f t="shared" si="11"/>
        <v>0.6916830553</v>
      </c>
      <c r="G47" s="1">
        <f t="shared" si="12"/>
        <v>0.8913855307</v>
      </c>
      <c r="H47" s="1">
        <f t="shared" si="13"/>
        <v>0.9093390896</v>
      </c>
      <c r="I47" s="1">
        <f t="shared" si="14"/>
        <v>0.2162342791</v>
      </c>
      <c r="J47" s="1">
        <f t="shared" si="15"/>
        <v>0.3630401471</v>
      </c>
      <c r="K47" s="1">
        <f t="shared" si="16"/>
        <v>0.2771440903</v>
      </c>
      <c r="L47" s="1">
        <f t="shared" si="17"/>
        <v>0.3866150097</v>
      </c>
      <c r="M47" s="1">
        <f t="shared" si="18"/>
        <v>0.8101919765</v>
      </c>
      <c r="N47" s="1">
        <f t="shared" si="19"/>
        <v>0.8508699254</v>
      </c>
      <c r="P47" s="8" t="s">
        <v>43</v>
      </c>
      <c r="Q47" s="1">
        <f t="shared" ref="Q47:AB47" si="22">AVERAGE(C46,C55,C64)</f>
        <v>0.9720511546</v>
      </c>
      <c r="R47" s="1">
        <f t="shared" si="22"/>
        <v>0.9888930108</v>
      </c>
      <c r="S47" s="1">
        <f t="shared" si="22"/>
        <v>0.9828886912</v>
      </c>
      <c r="T47" s="1">
        <f t="shared" si="22"/>
        <v>0.9763358902</v>
      </c>
      <c r="U47" s="1">
        <f t="shared" si="22"/>
        <v>0.9800805336</v>
      </c>
      <c r="V47" s="1">
        <f t="shared" si="22"/>
        <v>0.9840230937</v>
      </c>
      <c r="W47" s="1">
        <f t="shared" si="22"/>
        <v>0.9435615676</v>
      </c>
      <c r="X47" s="1">
        <f t="shared" si="22"/>
        <v>0.9555530263</v>
      </c>
      <c r="Y47" s="1">
        <f t="shared" si="22"/>
        <v>0.9530523813</v>
      </c>
      <c r="Z47" s="1">
        <f t="shared" si="22"/>
        <v>0.9622344557</v>
      </c>
      <c r="AA47" s="1">
        <f t="shared" si="22"/>
        <v>0.9733099741</v>
      </c>
      <c r="AB47" s="1">
        <f t="shared" si="22"/>
        <v>0.9712216553</v>
      </c>
    </row>
    <row r="48" ht="12.75" customHeight="1">
      <c r="C48" s="1">
        <f t="shared" si="8"/>
        <v>0.009704993894</v>
      </c>
      <c r="D48" s="1">
        <f t="shared" si="9"/>
        <v>0.01582623182</v>
      </c>
      <c r="E48" s="1">
        <f t="shared" si="10"/>
        <v>0.01737736454</v>
      </c>
      <c r="F48" s="1">
        <f t="shared" si="11"/>
        <v>0.01186322401</v>
      </c>
      <c r="G48" s="1">
        <f t="shared" si="12"/>
        <v>0.01867206785</v>
      </c>
      <c r="H48" s="1">
        <f t="shared" si="13"/>
        <v>0.02101453876</v>
      </c>
      <c r="I48" s="1">
        <f t="shared" si="14"/>
        <v>0.0004252992284</v>
      </c>
      <c r="J48" s="1">
        <f t="shared" si="15"/>
        <v>0.001164572479</v>
      </c>
      <c r="K48" s="1">
        <f t="shared" si="16"/>
        <v>0.001171465565</v>
      </c>
      <c r="L48" s="1">
        <f t="shared" si="17"/>
        <v>0.002686996188</v>
      </c>
      <c r="M48" s="1">
        <f t="shared" si="18"/>
        <v>0.01728426558</v>
      </c>
      <c r="N48" s="1">
        <f t="shared" si="19"/>
        <v>0.01880058632</v>
      </c>
      <c r="P48" s="8" t="s">
        <v>44</v>
      </c>
      <c r="Q48" s="1">
        <f t="shared" ref="Q48:AB48" si="23">AVERAGE(C47,C56,C65)</f>
        <v>0.7449380982</v>
      </c>
      <c r="R48" s="1">
        <f t="shared" si="23"/>
        <v>0.8909742466</v>
      </c>
      <c r="S48" s="1">
        <f t="shared" si="23"/>
        <v>0.8669004827</v>
      </c>
      <c r="T48" s="1">
        <f t="shared" si="23"/>
        <v>0.6949591747</v>
      </c>
      <c r="U48" s="1">
        <f t="shared" si="23"/>
        <v>0.8595187548</v>
      </c>
      <c r="V48" s="1">
        <f t="shared" si="23"/>
        <v>0.8727041591</v>
      </c>
      <c r="W48" s="1">
        <f t="shared" si="23"/>
        <v>0.2241142244</v>
      </c>
      <c r="X48" s="1">
        <f t="shared" si="23"/>
        <v>0.36183368</v>
      </c>
      <c r="Y48" s="1">
        <f t="shared" si="23"/>
        <v>0.2855531839</v>
      </c>
      <c r="Z48" s="1">
        <f t="shared" si="23"/>
        <v>0.4052618055</v>
      </c>
      <c r="AA48" s="1">
        <f t="shared" si="23"/>
        <v>0.7657398011</v>
      </c>
      <c r="AB48" s="1">
        <f t="shared" si="23"/>
        <v>0.8357288079</v>
      </c>
    </row>
    <row r="49" ht="12.75" customHeight="1">
      <c r="C49" s="1">
        <f t="shared" si="8"/>
        <v>0.001221158172</v>
      </c>
      <c r="D49" s="1">
        <f t="shared" si="9"/>
        <v>-0.0003203690652</v>
      </c>
      <c r="E49" s="1">
        <f t="shared" si="10"/>
        <v>-0.0003206155819</v>
      </c>
      <c r="F49" s="1">
        <f t="shared" si="11"/>
        <v>-0.0003171985028</v>
      </c>
      <c r="G49" s="1">
        <f t="shared" si="12"/>
        <v>-0.0003164757263</v>
      </c>
      <c r="H49" s="1">
        <f t="shared" si="13"/>
        <v>-0.001079296553</v>
      </c>
      <c r="I49" s="1">
        <f t="shared" si="14"/>
        <v>-0.001761953946</v>
      </c>
      <c r="J49" s="1">
        <f t="shared" si="15"/>
        <v>-0.003248544284</v>
      </c>
      <c r="K49" s="1">
        <f t="shared" si="16"/>
        <v>-0.004007645354</v>
      </c>
      <c r="L49" s="1">
        <f t="shared" si="17"/>
        <v>-0.00181216022</v>
      </c>
      <c r="M49" s="1">
        <f t="shared" si="18"/>
        <v>-0.001849607756</v>
      </c>
      <c r="N49" s="1">
        <f t="shared" si="19"/>
        <v>-0.001083423619</v>
      </c>
      <c r="P49" s="8" t="s">
        <v>45</v>
      </c>
      <c r="Q49" s="1">
        <f t="shared" ref="Q49:AB49" si="24">AVERAGE(C48,C57,C66)</f>
        <v>0.01428684033</v>
      </c>
      <c r="R49" s="1">
        <f t="shared" si="24"/>
        <v>0.021195855</v>
      </c>
      <c r="S49" s="1">
        <f t="shared" si="24"/>
        <v>0.02142375204</v>
      </c>
      <c r="T49" s="1">
        <f t="shared" si="24"/>
        <v>0.01330876871</v>
      </c>
      <c r="U49" s="1">
        <f t="shared" si="24"/>
        <v>0.02115780698</v>
      </c>
      <c r="V49" s="1">
        <f t="shared" si="24"/>
        <v>0.02278289378</v>
      </c>
      <c r="W49" s="1">
        <f t="shared" si="24"/>
        <v>0.0009337952019</v>
      </c>
      <c r="X49" s="1">
        <f t="shared" si="24"/>
        <v>0.006365020905</v>
      </c>
      <c r="Y49" s="1">
        <f t="shared" si="24"/>
        <v>0.001923328645</v>
      </c>
      <c r="Z49" s="1">
        <f t="shared" si="24"/>
        <v>0.003957100365</v>
      </c>
      <c r="AA49" s="1">
        <f t="shared" si="24"/>
        <v>0.01630119336</v>
      </c>
      <c r="AB49" s="1">
        <f t="shared" si="24"/>
        <v>0.0200756138</v>
      </c>
    </row>
    <row r="50" ht="12.75" customHeight="1">
      <c r="C50" s="1">
        <f t="shared" si="8"/>
        <v>-0.0003213574137</v>
      </c>
      <c r="D50" s="1">
        <f t="shared" si="9"/>
        <v>-0.001089254822</v>
      </c>
      <c r="E50" s="1">
        <f t="shared" si="10"/>
        <v>-0.0003206155819</v>
      </c>
      <c r="F50" s="1">
        <f t="shared" si="11"/>
        <v>-0.00107847491</v>
      </c>
      <c r="G50" s="1">
        <f t="shared" si="12"/>
        <v>-0.002595100956</v>
      </c>
      <c r="H50" s="1">
        <f t="shared" si="13"/>
        <v>0.001968129008</v>
      </c>
      <c r="I50" s="1">
        <f t="shared" si="14"/>
        <v>-0.001032869555</v>
      </c>
      <c r="J50" s="1">
        <f t="shared" si="15"/>
        <v>-0.0003064664419</v>
      </c>
      <c r="K50" s="1">
        <f t="shared" si="16"/>
        <v>-0.002527899377</v>
      </c>
      <c r="L50" s="1">
        <f t="shared" si="17"/>
        <v>-0.00181216022</v>
      </c>
      <c r="M50" s="1">
        <f t="shared" si="18"/>
        <v>-0.003380317622</v>
      </c>
      <c r="N50" s="1">
        <f t="shared" si="19"/>
        <v>-0.004142502071</v>
      </c>
      <c r="P50" s="8" t="s">
        <v>46</v>
      </c>
      <c r="Q50" s="1">
        <f t="shared" ref="Q50:AB50" si="25">AVERAGE(C49,C58,C67)</f>
        <v>0.00147548231</v>
      </c>
      <c r="R50" s="1">
        <f t="shared" si="25"/>
        <v>0.0004600149599</v>
      </c>
      <c r="S50" s="1">
        <f t="shared" si="25"/>
        <v>-0.00004611076463</v>
      </c>
      <c r="T50" s="1">
        <f t="shared" si="25"/>
        <v>-0.000544691975</v>
      </c>
      <c r="U50" s="1">
        <f t="shared" si="25"/>
        <v>-0.0002937348659</v>
      </c>
      <c r="V50" s="1">
        <f t="shared" si="25"/>
        <v>-0.0005498702157</v>
      </c>
      <c r="W50" s="1">
        <f t="shared" si="25"/>
        <v>-0.002231362331</v>
      </c>
      <c r="X50" s="1">
        <f t="shared" si="25"/>
        <v>-0.003237089874</v>
      </c>
      <c r="Y50" s="1">
        <f t="shared" si="25"/>
        <v>-0.00299208203</v>
      </c>
      <c r="Z50" s="1">
        <f t="shared" si="25"/>
        <v>-0.002291852918</v>
      </c>
      <c r="AA50" s="1">
        <f t="shared" si="25"/>
        <v>-0.002075104342</v>
      </c>
      <c r="AB50" s="1">
        <f t="shared" si="25"/>
        <v>-0.0008064795281</v>
      </c>
    </row>
    <row r="51" ht="12.75" customHeight="1">
      <c r="P51" s="8" t="s">
        <v>47</v>
      </c>
      <c r="Q51" s="1">
        <f t="shared" ref="Q51:AB51" si="26">AVERAGE(C50,C59,C68)</f>
        <v>-0.0005493415578</v>
      </c>
      <c r="R51" s="1">
        <f t="shared" si="26"/>
        <v>0.0004501673118</v>
      </c>
      <c r="S51" s="1">
        <f t="shared" si="26"/>
        <v>0.0007154160569</v>
      </c>
      <c r="T51" s="1">
        <f t="shared" si="26"/>
        <v>0.0007020221815</v>
      </c>
      <c r="U51" s="1">
        <f t="shared" si="26"/>
        <v>-0.0008005758699</v>
      </c>
      <c r="V51" s="1">
        <f t="shared" si="26"/>
        <v>-0.0005479070219</v>
      </c>
      <c r="W51" s="1">
        <f t="shared" si="26"/>
        <v>-0.001257230699</v>
      </c>
      <c r="X51" s="1">
        <f t="shared" si="26"/>
        <v>-0.002009147908</v>
      </c>
      <c r="Y51" s="1">
        <f t="shared" si="26"/>
        <v>-0.003235695998</v>
      </c>
      <c r="Z51" s="1">
        <f t="shared" si="26"/>
        <v>-0.002541322794</v>
      </c>
      <c r="AA51" s="1">
        <f t="shared" si="26"/>
        <v>-0.003091477874</v>
      </c>
      <c r="AB51" s="1">
        <f t="shared" si="26"/>
        <v>-0.003352766845</v>
      </c>
    </row>
    <row r="52" ht="12.75" customHeight="1"/>
    <row r="53" ht="12.75" customHeight="1"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>
        <v>1.0</v>
      </c>
      <c r="N53" s="1">
        <v>1.0</v>
      </c>
    </row>
    <row r="54" ht="12.75" customHeight="1">
      <c r="C54" s="1">
        <v>1.002978221753428</v>
      </c>
      <c r="D54" s="1">
        <v>1.0142526723760705</v>
      </c>
      <c r="E54" s="1">
        <v>1.000755810291617</v>
      </c>
      <c r="F54" s="1">
        <v>0.98876474627052</v>
      </c>
      <c r="G54" s="1">
        <v>0.9931770800429592</v>
      </c>
      <c r="H54" s="1">
        <v>1.002281224257018</v>
      </c>
      <c r="I54" s="1">
        <v>0.9825210900042484</v>
      </c>
      <c r="J54" s="1">
        <v>0.9867752403110267</v>
      </c>
      <c r="K54" s="1">
        <v>0.9867166840907693</v>
      </c>
      <c r="L54" s="1">
        <v>0.9932284155746443</v>
      </c>
      <c r="M54" s="1">
        <v>0.9763554312591369</v>
      </c>
      <c r="N54" s="1">
        <v>0.9785454313262244</v>
      </c>
    </row>
    <row r="55" ht="12.75" customHeight="1">
      <c r="C55" s="1">
        <v>0.9635167835205063</v>
      </c>
      <c r="D55" s="1">
        <v>0.9849971869725573</v>
      </c>
      <c r="E55" s="1">
        <v>0.9848837941676639</v>
      </c>
      <c r="F55" s="1">
        <v>0.9752824417951439</v>
      </c>
      <c r="G55" s="1">
        <v>0.9855960578684694</v>
      </c>
      <c r="H55" s="1">
        <v>0.9825106140295292</v>
      </c>
      <c r="I55" s="1">
        <v>0.9402803908478484</v>
      </c>
      <c r="J55" s="1">
        <v>0.949305087858936</v>
      </c>
      <c r="K55" s="1">
        <v>0.94612877436812</v>
      </c>
      <c r="L55" s="1">
        <v>0.963132484795285</v>
      </c>
      <c r="M55" s="1">
        <v>0.9687281510201488</v>
      </c>
      <c r="N55" s="1">
        <v>0.9770129621352404</v>
      </c>
    </row>
    <row r="56" ht="12.75" customHeight="1">
      <c r="C56" s="1">
        <v>0.7535521499038282</v>
      </c>
      <c r="D56" s="1">
        <v>0.8627242607988997</v>
      </c>
      <c r="E56" s="1">
        <v>0.8684890092586761</v>
      </c>
      <c r="F56" s="1">
        <v>0.6359777791648462</v>
      </c>
      <c r="G56" s="1">
        <v>0.8544443742497947</v>
      </c>
      <c r="H56" s="1">
        <v>0.8616057284075788</v>
      </c>
      <c r="I56" s="1">
        <v>0.20033986769436188</v>
      </c>
      <c r="J56" s="1">
        <v>0.3292108002204127</v>
      </c>
      <c r="K56" s="1">
        <v>0.2576102330729968</v>
      </c>
      <c r="L56" s="1">
        <v>0.3755094363282965</v>
      </c>
      <c r="M56" s="1">
        <v>0.7254179113964281</v>
      </c>
      <c r="N56" s="1">
        <v>0.8015452397675755</v>
      </c>
    </row>
    <row r="57" ht="12.75" customHeight="1">
      <c r="C57" s="1">
        <v>0.020909598560526155</v>
      </c>
      <c r="D57" s="1">
        <v>0.025567293867600184</v>
      </c>
      <c r="E57" s="1">
        <v>0.02651634439755622</v>
      </c>
      <c r="F57" s="1">
        <v>0.01129767180575494</v>
      </c>
      <c r="G57" s="1">
        <v>0.02583865057805295</v>
      </c>
      <c r="H57" s="1">
        <v>0.027438058424687904</v>
      </c>
      <c r="I57" s="1">
        <v>7.889785761971173E-4</v>
      </c>
      <c r="J57" s="1">
        <v>0.0059388967121777984</v>
      </c>
      <c r="K57" s="1">
        <v>0.001537420822827619</v>
      </c>
      <c r="L57" s="1">
        <v>0.0030722929337262486</v>
      </c>
      <c r="M57" s="1">
        <v>0.01531812114663446</v>
      </c>
      <c r="N57" s="1">
        <v>0.023050890747717264</v>
      </c>
    </row>
    <row r="58" ht="12.75" customHeight="1">
      <c r="C58" s="1">
        <v>8.066017248867594E-4</v>
      </c>
      <c r="D58" s="1">
        <v>8.126523723198039E-4</v>
      </c>
      <c r="E58" s="1">
        <v>-6.928261006487449E-4</v>
      </c>
      <c r="F58" s="1">
        <v>-6.865988390237889E-4</v>
      </c>
      <c r="G58" s="1">
        <v>6.317518478740855E-5</v>
      </c>
      <c r="H58" s="1">
        <v>-6.970407451999317E-4</v>
      </c>
      <c r="I58" s="1">
        <v>-0.0021241730897614947</v>
      </c>
      <c r="J58" s="1">
        <v>-0.002877609747137696</v>
      </c>
      <c r="K58" s="1">
        <v>-0.0021523891519586833</v>
      </c>
      <c r="L58" s="1">
        <v>-0.002194494952661618</v>
      </c>
      <c r="M58" s="1">
        <v>-0.0022246234030382094</v>
      </c>
      <c r="N58" s="1">
        <v>-7.023817125343287E-4</v>
      </c>
    </row>
    <row r="59" ht="12.75" customHeight="1">
      <c r="C59" s="1">
        <v>6.204628652974437E-5</v>
      </c>
      <c r="D59" s="1">
        <v>0.00231293367506407</v>
      </c>
      <c r="E59" s="1">
        <v>0.003842035649052085</v>
      </c>
      <c r="F59" s="1">
        <v>0.0030584857374695673</v>
      </c>
      <c r="G59" s="1">
        <v>8.212774022363954E-4</v>
      </c>
      <c r="H59" s="1">
        <v>-0.002217856916545222</v>
      </c>
      <c r="I59" s="1">
        <v>-0.0013958851732718417</v>
      </c>
      <c r="J59" s="1">
        <v>-0.002877609747137696</v>
      </c>
      <c r="K59" s="1">
        <v>-0.0036283131418731935</v>
      </c>
      <c r="L59" s="1">
        <v>-0.002194494952661618</v>
      </c>
      <c r="M59" s="1">
        <v>-0.0022246234030382094</v>
      </c>
      <c r="N59" s="1">
        <v>-0.00300108549901028</v>
      </c>
    </row>
    <row r="60" ht="12.75" customHeight="1"/>
    <row r="61" ht="12.75" customHeight="1"/>
    <row r="62" ht="12.75" customHeight="1">
      <c r="C62" s="1">
        <v>1.0</v>
      </c>
      <c r="D62" s="1">
        <v>1.0</v>
      </c>
      <c r="E62" s="1">
        <v>1.0</v>
      </c>
      <c r="F62" s="1">
        <v>1.0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>
        <v>1.0</v>
      </c>
      <c r="N62" s="1">
        <v>1.0</v>
      </c>
    </row>
    <row r="63" ht="12.75" customHeight="1">
      <c r="C63" s="1">
        <v>1.0</v>
      </c>
      <c r="D63" s="1">
        <v>1.0197844007609385</v>
      </c>
      <c r="E63" s="1">
        <v>0.9872484060507563</v>
      </c>
      <c r="F63" s="1">
        <v>1.0052943400983236</v>
      </c>
      <c r="G63" s="1">
        <v>0.9924651513248776</v>
      </c>
      <c r="H63" s="1">
        <v>0.9984792801926246</v>
      </c>
      <c r="I63" s="1">
        <v>0.9970699548284703</v>
      </c>
      <c r="J63" s="1">
        <v>1.0007417480529115</v>
      </c>
      <c r="K63" s="1">
        <v>0.9889800416309538</v>
      </c>
      <c r="L63" s="1">
        <v>0.9947611325932394</v>
      </c>
      <c r="M63" s="1">
        <v>0.9984815892698975</v>
      </c>
      <c r="N63" s="1">
        <v>0.9916360410594347</v>
      </c>
    </row>
    <row r="64" ht="12.75" customHeight="1">
      <c r="C64" s="1">
        <v>0.9750031561671507</v>
      </c>
      <c r="D64" s="1">
        <v>0.9870640456563096</v>
      </c>
      <c r="E64" s="1">
        <v>0.9722465308163519</v>
      </c>
      <c r="F64" s="1">
        <v>0.9750409681079037</v>
      </c>
      <c r="G64" s="1">
        <v>0.9728745447695591</v>
      </c>
      <c r="H64" s="1">
        <v>0.9832720821188696</v>
      </c>
      <c r="I64" s="1">
        <v>0.9501892320839945</v>
      </c>
      <c r="J64" s="1">
        <v>0.9681048337248115</v>
      </c>
      <c r="K64" s="1">
        <v>0.9529815109587363</v>
      </c>
      <c r="L64" s="1">
        <v>0.9708120244480479</v>
      </c>
      <c r="M64" s="1">
        <v>0.9772238390484626</v>
      </c>
      <c r="N64" s="1">
        <v>0.9779495627930552</v>
      </c>
    </row>
    <row r="65" ht="12.75" customHeight="1">
      <c r="C65" s="1">
        <v>0.7280646383032446</v>
      </c>
      <c r="D65" s="1">
        <v>0.9155358275206088</v>
      </c>
      <c r="E65" s="1">
        <v>0.8514814351793975</v>
      </c>
      <c r="F65" s="1">
        <v>0.7572166897768814</v>
      </c>
      <c r="G65" s="1">
        <v>0.8327263594122818</v>
      </c>
      <c r="H65" s="1">
        <v>0.847167659358763</v>
      </c>
      <c r="I65" s="1">
        <v>0.25576852643144915</v>
      </c>
      <c r="J65" s="1">
        <v>0.39325009271850664</v>
      </c>
      <c r="K65" s="1">
        <v>0.32190522835802626</v>
      </c>
      <c r="L65" s="1">
        <v>0.45366097043781967</v>
      </c>
      <c r="M65" s="1">
        <v>0.7616095153739086</v>
      </c>
      <c r="N65" s="1">
        <v>0.8547712583956405</v>
      </c>
    </row>
    <row r="66" ht="12.75" customHeight="1">
      <c r="C66" s="1">
        <v>0.012245928544375699</v>
      </c>
      <c r="D66" s="1">
        <v>0.022194039315155355</v>
      </c>
      <c r="E66" s="1">
        <v>0.02037754719339917</v>
      </c>
      <c r="F66" s="1">
        <v>0.01676541031135761</v>
      </c>
      <c r="G66" s="1">
        <v>0.018962702499058137</v>
      </c>
      <c r="H66" s="1">
        <v>0.019896084146496</v>
      </c>
      <c r="I66" s="1">
        <v>0.0015871078012452571</v>
      </c>
      <c r="J66" s="1">
        <v>0.011991593522066992</v>
      </c>
      <c r="K66" s="1">
        <v>0.0030610995469572562</v>
      </c>
      <c r="L66" s="1">
        <v>0.006112011974554065</v>
      </c>
      <c r="N66" s="1">
        <v>0.01837536433912051</v>
      </c>
    </row>
    <row r="67" ht="12.75" customHeight="1">
      <c r="C67" s="1">
        <v>0.002398687034465334</v>
      </c>
      <c r="D67" s="1">
        <v>8.877615726062012E-4</v>
      </c>
      <c r="E67" s="1">
        <v>8.751093886735711E-4</v>
      </c>
      <c r="F67" s="1">
        <v>-6.302785831337598E-4</v>
      </c>
      <c r="G67" s="1">
        <v>-6.279040562602179E-4</v>
      </c>
      <c r="H67" s="1">
        <v>1.267266506146103E-4</v>
      </c>
      <c r="I67" s="1">
        <v>-0.0028079599560493387</v>
      </c>
      <c r="J67" s="1">
        <v>-0.0035851155890715856</v>
      </c>
      <c r="K67" s="1">
        <v>-0.002816211583200702</v>
      </c>
      <c r="L67" s="1">
        <v>-0.002868903579892745</v>
      </c>
      <c r="M67" s="1">
        <v>-0.002151081867645214</v>
      </c>
      <c r="N67" s="1">
        <v>-6.33633253073136E-4</v>
      </c>
    </row>
    <row r="68" ht="12.75" customHeight="1">
      <c r="C68" s="1">
        <v>-0.001388713546269426</v>
      </c>
      <c r="D68" s="1">
        <v>1.268230818008738E-4</v>
      </c>
      <c r="E68" s="1">
        <v>-0.001375171896487076</v>
      </c>
      <c r="F68" s="1">
        <v>1.2605571662673517E-4</v>
      </c>
      <c r="G68" s="1">
        <v>-6.279040562602179E-4</v>
      </c>
      <c r="H68" s="1">
        <v>-0.001393993156760882</v>
      </c>
      <c r="I68" s="1">
        <v>-0.0013429373702844734</v>
      </c>
      <c r="J68" s="1">
        <v>-0.002843367536160234</v>
      </c>
      <c r="K68" s="1">
        <v>-0.0035508754744704362</v>
      </c>
      <c r="L68" s="1">
        <v>-0.0036173132094299686</v>
      </c>
      <c r="M68" s="1">
        <v>-0.0036694925977476976</v>
      </c>
      <c r="N68" s="1">
        <v>-0.0029147129641363748</v>
      </c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Q45:AB51">
    <cfRule type="colorScale" priority="1">
      <colorScale>
        <cfvo type="formula" val="0"/>
        <cfvo type="formula" val="1"/>
        <color theme="1"/>
        <color rgb="FF00B0F0"/>
      </colorScale>
    </cfRule>
  </conditionalFormatting>
  <conditionalFormatting sqref="Q45:AB51">
    <cfRule type="colorScale" priority="2">
      <colorScale>
        <cfvo type="formula" val="0"/>
        <cfvo type="formula" val="0"/>
        <color theme="1"/>
        <color rgb="FF00B0F0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3" max="26" width="9.13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7"/>
      <c r="C24" s="8">
        <v>1.0</v>
      </c>
      <c r="D24" s="8">
        <v>2.0</v>
      </c>
      <c r="E24" s="8">
        <v>3.0</v>
      </c>
      <c r="F24" s="8">
        <v>4.0</v>
      </c>
      <c r="G24" s="8">
        <v>5.0</v>
      </c>
      <c r="H24" s="8">
        <v>6.0</v>
      </c>
      <c r="I24" s="8">
        <v>7.0</v>
      </c>
      <c r="J24" s="8">
        <v>8.0</v>
      </c>
      <c r="K24" s="8">
        <v>9.0</v>
      </c>
      <c r="L24" s="8">
        <v>10.0</v>
      </c>
      <c r="M24" s="8">
        <v>11.0</v>
      </c>
      <c r="N24" s="8">
        <v>12.0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8" t="s">
        <v>26</v>
      </c>
      <c r="C25" s="9">
        <v>0.104</v>
      </c>
      <c r="D25" s="9">
        <v>0.103</v>
      </c>
      <c r="E25" s="9">
        <v>0.104</v>
      </c>
      <c r="F25" s="9">
        <v>0.103</v>
      </c>
      <c r="G25" s="9">
        <v>0.105</v>
      </c>
      <c r="H25" s="9">
        <v>0.106</v>
      </c>
      <c r="I25" s="9">
        <v>0.109</v>
      </c>
      <c r="J25" s="9">
        <v>0.105</v>
      </c>
      <c r="K25" s="9">
        <v>0.107</v>
      </c>
      <c r="L25" s="9">
        <v>0.104</v>
      </c>
      <c r="M25" s="9">
        <v>0.106</v>
      </c>
      <c r="N25" s="9">
        <v>0.103</v>
      </c>
      <c r="O25" s="10">
        <v>600.0</v>
      </c>
      <c r="P25" s="1">
        <f>AVERAGE(C25:N25)</f>
        <v>0.1049166667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8" t="s">
        <v>27</v>
      </c>
      <c r="C26" s="11">
        <v>1.448</v>
      </c>
      <c r="D26" s="11">
        <v>1.438</v>
      </c>
      <c r="E26" s="11">
        <v>1.428</v>
      </c>
      <c r="F26" s="11">
        <v>1.44</v>
      </c>
      <c r="G26" s="11">
        <v>1.424</v>
      </c>
      <c r="H26" s="11">
        <v>1.42</v>
      </c>
      <c r="I26" s="11">
        <v>1.478</v>
      </c>
      <c r="J26" s="11">
        <v>1.466</v>
      </c>
      <c r="K26" s="11">
        <v>1.46</v>
      </c>
      <c r="L26" s="11">
        <v>1.434</v>
      </c>
      <c r="M26" s="11">
        <v>1.416</v>
      </c>
      <c r="N26" s="11">
        <v>1.41</v>
      </c>
      <c r="O26" s="10">
        <v>600.0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8" t="s">
        <v>28</v>
      </c>
      <c r="C27" s="11">
        <v>1.452</v>
      </c>
      <c r="D27" s="11">
        <v>1.457</v>
      </c>
      <c r="E27" s="11">
        <v>1.429</v>
      </c>
      <c r="F27" s="11">
        <v>1.425</v>
      </c>
      <c r="G27" s="11">
        <v>1.415</v>
      </c>
      <c r="H27" s="11">
        <v>1.423</v>
      </c>
      <c r="I27" s="11">
        <v>1.454</v>
      </c>
      <c r="J27" s="11">
        <v>1.448</v>
      </c>
      <c r="K27" s="11">
        <v>1.442</v>
      </c>
      <c r="L27" s="11">
        <v>1.425</v>
      </c>
      <c r="M27" s="11">
        <v>1.385</v>
      </c>
      <c r="N27" s="11">
        <v>1.382</v>
      </c>
      <c r="O27" s="10">
        <v>600.0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8" t="s">
        <v>29</v>
      </c>
      <c r="C28" s="11">
        <v>1.399</v>
      </c>
      <c r="D28" s="11">
        <v>1.418</v>
      </c>
      <c r="E28" s="11">
        <v>1.408</v>
      </c>
      <c r="F28" s="11">
        <v>1.407</v>
      </c>
      <c r="G28" s="11">
        <v>1.405</v>
      </c>
      <c r="H28" s="11">
        <v>1.397</v>
      </c>
      <c r="I28" s="11">
        <v>1.396</v>
      </c>
      <c r="J28" s="11">
        <v>1.397</v>
      </c>
      <c r="K28" s="11">
        <v>1.387</v>
      </c>
      <c r="L28" s="11">
        <v>1.385</v>
      </c>
      <c r="M28" s="12">
        <v>1.375</v>
      </c>
      <c r="N28" s="11">
        <v>1.38</v>
      </c>
      <c r="O28" s="10">
        <v>600.0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8" t="s">
        <v>30</v>
      </c>
      <c r="C29" s="17">
        <v>1.117</v>
      </c>
      <c r="D29" s="14">
        <v>1.255</v>
      </c>
      <c r="E29" s="14">
        <v>1.254</v>
      </c>
      <c r="F29" s="19">
        <v>0.954</v>
      </c>
      <c r="G29" s="14">
        <v>1.232</v>
      </c>
      <c r="H29" s="14">
        <v>1.238</v>
      </c>
      <c r="I29" s="20">
        <v>0.38</v>
      </c>
      <c r="J29" s="21">
        <v>0.553</v>
      </c>
      <c r="K29" s="15">
        <v>0.454</v>
      </c>
      <c r="L29" s="16">
        <v>0.604</v>
      </c>
      <c r="M29" s="13">
        <v>1.056</v>
      </c>
      <c r="N29" s="17">
        <v>1.151</v>
      </c>
      <c r="O29" s="10">
        <v>600.0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8" t="s">
        <v>31</v>
      </c>
      <c r="C30" s="9">
        <v>0.133</v>
      </c>
      <c r="D30" s="9">
        <v>0.139</v>
      </c>
      <c r="E30" s="9">
        <v>0.14</v>
      </c>
      <c r="F30" s="9">
        <v>0.12</v>
      </c>
      <c r="G30" s="9">
        <v>0.139</v>
      </c>
      <c r="H30" s="9">
        <v>0.141</v>
      </c>
      <c r="I30" s="9">
        <v>0.106</v>
      </c>
      <c r="J30" s="9">
        <v>0.113</v>
      </c>
      <c r="K30" s="9">
        <v>0.107</v>
      </c>
      <c r="L30" s="9">
        <v>0.109</v>
      </c>
      <c r="M30" s="9">
        <v>0.125</v>
      </c>
      <c r="N30" s="9">
        <v>0.135</v>
      </c>
      <c r="O30" s="10">
        <v>600.0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8" t="s">
        <v>32</v>
      </c>
      <c r="C31" s="9">
        <v>0.106</v>
      </c>
      <c r="D31" s="9">
        <v>0.106</v>
      </c>
      <c r="E31" s="9">
        <v>0.104</v>
      </c>
      <c r="F31" s="9">
        <v>0.104</v>
      </c>
      <c r="G31" s="9">
        <v>0.105</v>
      </c>
      <c r="H31" s="9">
        <v>0.104</v>
      </c>
      <c r="I31" s="9">
        <v>0.102</v>
      </c>
      <c r="J31" s="9">
        <v>0.101</v>
      </c>
      <c r="K31" s="9">
        <v>0.102</v>
      </c>
      <c r="L31" s="9">
        <v>0.102</v>
      </c>
      <c r="M31" s="9">
        <v>0.102</v>
      </c>
      <c r="N31" s="9">
        <v>0.104</v>
      </c>
      <c r="O31" s="10">
        <v>600.0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8" t="s">
        <v>33</v>
      </c>
      <c r="C32" s="9">
        <v>0.105</v>
      </c>
      <c r="D32" s="9">
        <v>0.108</v>
      </c>
      <c r="E32" s="9">
        <v>0.11</v>
      </c>
      <c r="F32" s="9">
        <v>0.109</v>
      </c>
      <c r="G32" s="9">
        <v>0.106</v>
      </c>
      <c r="H32" s="9">
        <v>0.102</v>
      </c>
      <c r="I32" s="9">
        <v>0.103</v>
      </c>
      <c r="J32" s="9">
        <v>0.101</v>
      </c>
      <c r="K32" s="9">
        <v>0.1</v>
      </c>
      <c r="L32" s="9">
        <v>0.102</v>
      </c>
      <c r="M32" s="9">
        <v>0.102</v>
      </c>
      <c r="N32" s="9">
        <v>0.101</v>
      </c>
      <c r="O32" s="10">
        <v>600.0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1">
        <f t="shared" ref="C35:N35" si="1">C26-$P$25</f>
        <v>1.343083333</v>
      </c>
      <c r="D35" s="1">
        <f t="shared" si="1"/>
        <v>1.333083333</v>
      </c>
      <c r="E35" s="1">
        <f t="shared" si="1"/>
        <v>1.323083333</v>
      </c>
      <c r="F35" s="1">
        <f t="shared" si="1"/>
        <v>1.335083333</v>
      </c>
      <c r="G35" s="1">
        <f t="shared" si="1"/>
        <v>1.319083333</v>
      </c>
      <c r="H35" s="1">
        <f t="shared" si="1"/>
        <v>1.315083333</v>
      </c>
      <c r="I35" s="1">
        <f t="shared" si="1"/>
        <v>1.373083333</v>
      </c>
      <c r="J35" s="1">
        <f t="shared" si="1"/>
        <v>1.361083333</v>
      </c>
      <c r="K35" s="1">
        <f t="shared" si="1"/>
        <v>1.355083333</v>
      </c>
      <c r="L35" s="1">
        <f t="shared" si="1"/>
        <v>1.329083333</v>
      </c>
      <c r="M35" s="1">
        <f t="shared" si="1"/>
        <v>1.311083333</v>
      </c>
      <c r="N35" s="1">
        <f t="shared" si="1"/>
        <v>1.305083333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1">
        <f t="shared" ref="C36:N36" si="2">C27-$P$25</f>
        <v>1.347083333</v>
      </c>
      <c r="D36" s="1">
        <f t="shared" si="2"/>
        <v>1.352083333</v>
      </c>
      <c r="E36" s="1">
        <f t="shared" si="2"/>
        <v>1.324083333</v>
      </c>
      <c r="F36" s="1">
        <f t="shared" si="2"/>
        <v>1.320083333</v>
      </c>
      <c r="G36" s="1">
        <f t="shared" si="2"/>
        <v>1.310083333</v>
      </c>
      <c r="H36" s="1">
        <f t="shared" si="2"/>
        <v>1.318083333</v>
      </c>
      <c r="I36" s="1">
        <f t="shared" si="2"/>
        <v>1.349083333</v>
      </c>
      <c r="J36" s="1">
        <f t="shared" si="2"/>
        <v>1.343083333</v>
      </c>
      <c r="K36" s="1">
        <f t="shared" si="2"/>
        <v>1.337083333</v>
      </c>
      <c r="L36" s="1">
        <f t="shared" si="2"/>
        <v>1.320083333</v>
      </c>
      <c r="M36" s="1">
        <f t="shared" si="2"/>
        <v>1.280083333</v>
      </c>
      <c r="N36" s="1">
        <f t="shared" si="2"/>
        <v>1.277083333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1">
        <f t="shared" ref="C37:N37" si="3">C28-$P$25</f>
        <v>1.294083333</v>
      </c>
      <c r="D37" s="1">
        <f t="shared" si="3"/>
        <v>1.313083333</v>
      </c>
      <c r="E37" s="1">
        <f t="shared" si="3"/>
        <v>1.303083333</v>
      </c>
      <c r="F37" s="1">
        <f t="shared" si="3"/>
        <v>1.302083333</v>
      </c>
      <c r="G37" s="1">
        <f t="shared" si="3"/>
        <v>1.300083333</v>
      </c>
      <c r="H37" s="1">
        <f t="shared" si="3"/>
        <v>1.292083333</v>
      </c>
      <c r="I37" s="1">
        <f t="shared" si="3"/>
        <v>1.291083333</v>
      </c>
      <c r="J37" s="1">
        <f t="shared" si="3"/>
        <v>1.292083333</v>
      </c>
      <c r="K37" s="1">
        <f t="shared" si="3"/>
        <v>1.282083333</v>
      </c>
      <c r="L37" s="1">
        <f t="shared" si="3"/>
        <v>1.280083333</v>
      </c>
      <c r="M37" s="1">
        <f t="shared" si="3"/>
        <v>1.270083333</v>
      </c>
      <c r="N37" s="1">
        <f t="shared" si="3"/>
        <v>1.275083333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1">
        <f t="shared" ref="C38:N38" si="4">C29-$P$25</f>
        <v>1.012083333</v>
      </c>
      <c r="D38" s="1">
        <f t="shared" si="4"/>
        <v>1.150083333</v>
      </c>
      <c r="E38" s="1">
        <f t="shared" si="4"/>
        <v>1.149083333</v>
      </c>
      <c r="F38" s="1">
        <f t="shared" si="4"/>
        <v>0.8490833333</v>
      </c>
      <c r="G38" s="1">
        <f t="shared" si="4"/>
        <v>1.127083333</v>
      </c>
      <c r="H38" s="1">
        <f t="shared" si="4"/>
        <v>1.133083333</v>
      </c>
      <c r="I38" s="1">
        <f t="shared" si="4"/>
        <v>0.2750833333</v>
      </c>
      <c r="J38" s="1">
        <f t="shared" si="4"/>
        <v>0.4480833333</v>
      </c>
      <c r="K38" s="1">
        <f t="shared" si="4"/>
        <v>0.3490833333</v>
      </c>
      <c r="L38" s="1">
        <f t="shared" si="4"/>
        <v>0.4990833333</v>
      </c>
      <c r="M38" s="1">
        <f t="shared" si="4"/>
        <v>0.9510833333</v>
      </c>
      <c r="N38" s="1">
        <f t="shared" si="4"/>
        <v>1.046083333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1">
        <f t="shared" ref="C39:N39" si="5">C30-$P$25</f>
        <v>0.02808333333</v>
      </c>
      <c r="D39" s="1">
        <f t="shared" si="5"/>
        <v>0.03408333333</v>
      </c>
      <c r="E39" s="1">
        <f t="shared" si="5"/>
        <v>0.03508333333</v>
      </c>
      <c r="F39" s="1">
        <f t="shared" si="5"/>
        <v>0.01508333333</v>
      </c>
      <c r="G39" s="1">
        <f t="shared" si="5"/>
        <v>0.03408333333</v>
      </c>
      <c r="H39" s="1">
        <f t="shared" si="5"/>
        <v>0.03608333333</v>
      </c>
      <c r="I39" s="1">
        <f t="shared" si="5"/>
        <v>0.001083333333</v>
      </c>
      <c r="J39" s="1">
        <f t="shared" si="5"/>
        <v>0.008083333333</v>
      </c>
      <c r="K39" s="1">
        <f t="shared" si="5"/>
        <v>0.002083333333</v>
      </c>
      <c r="L39" s="1">
        <f t="shared" si="5"/>
        <v>0.004083333333</v>
      </c>
      <c r="M39" s="1">
        <f t="shared" si="5"/>
        <v>0.02008333333</v>
      </c>
      <c r="N39" s="1">
        <f t="shared" si="5"/>
        <v>0.03008333333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1">
        <f t="shared" ref="C40:N40" si="6">C31-$P$25</f>
        <v>0.001083333333</v>
      </c>
      <c r="D40" s="1">
        <f t="shared" si="6"/>
        <v>0.001083333333</v>
      </c>
      <c r="E40" s="1">
        <f t="shared" si="6"/>
        <v>-0.0009166666667</v>
      </c>
      <c r="F40" s="1">
        <f t="shared" si="6"/>
        <v>-0.0009166666667</v>
      </c>
      <c r="G40" s="1">
        <f t="shared" si="6"/>
        <v>0.00008333333333</v>
      </c>
      <c r="H40" s="1">
        <f t="shared" si="6"/>
        <v>-0.0009166666667</v>
      </c>
      <c r="I40" s="1">
        <f t="shared" si="6"/>
        <v>-0.002916666667</v>
      </c>
      <c r="J40" s="1">
        <f t="shared" si="6"/>
        <v>-0.003916666667</v>
      </c>
      <c r="K40" s="1">
        <f t="shared" si="6"/>
        <v>-0.002916666667</v>
      </c>
      <c r="L40" s="1">
        <f t="shared" si="6"/>
        <v>-0.002916666667</v>
      </c>
      <c r="M40" s="1">
        <f t="shared" si="6"/>
        <v>-0.002916666667</v>
      </c>
      <c r="N40" s="1">
        <f t="shared" si="6"/>
        <v>-0.0009166666667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1">
        <f t="shared" ref="C41:N41" si="7">C32-$P$25</f>
        <v>0.00008333333333</v>
      </c>
      <c r="D41" s="1">
        <f t="shared" si="7"/>
        <v>0.003083333333</v>
      </c>
      <c r="E41" s="1">
        <f t="shared" si="7"/>
        <v>0.005083333333</v>
      </c>
      <c r="F41" s="1">
        <f t="shared" si="7"/>
        <v>0.004083333333</v>
      </c>
      <c r="G41" s="1">
        <f t="shared" si="7"/>
        <v>0.001083333333</v>
      </c>
      <c r="H41" s="1">
        <f t="shared" si="7"/>
        <v>-0.002916666667</v>
      </c>
      <c r="I41" s="1">
        <f t="shared" si="7"/>
        <v>-0.001916666667</v>
      </c>
      <c r="J41" s="1">
        <f t="shared" si="7"/>
        <v>-0.003916666667</v>
      </c>
      <c r="K41" s="1">
        <f t="shared" si="7"/>
        <v>-0.004916666667</v>
      </c>
      <c r="L41" s="1">
        <f t="shared" si="7"/>
        <v>-0.002916666667</v>
      </c>
      <c r="M41" s="1">
        <f t="shared" si="7"/>
        <v>-0.002916666667</v>
      </c>
      <c r="N41" s="1">
        <f t="shared" si="7"/>
        <v>-0.003916666667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1">
        <f t="shared" si="8"/>
        <v>1.002978222</v>
      </c>
      <c r="D45" s="1">
        <f t="shared" si="9"/>
        <v>1.014252672</v>
      </c>
      <c r="E45" s="1">
        <f t="shared" si="10"/>
        <v>1.00075581</v>
      </c>
      <c r="F45" s="1">
        <f t="shared" si="11"/>
        <v>0.9887647463</v>
      </c>
      <c r="G45" s="1">
        <f t="shared" si="12"/>
        <v>0.99317708</v>
      </c>
      <c r="H45" s="1">
        <f t="shared" si="13"/>
        <v>1.002281224</v>
      </c>
      <c r="I45" s="1">
        <f t="shared" si="14"/>
        <v>0.98252109</v>
      </c>
      <c r="J45" s="1">
        <f t="shared" si="15"/>
        <v>0.9867752403</v>
      </c>
      <c r="K45" s="1">
        <f t="shared" si="16"/>
        <v>0.9867166841</v>
      </c>
      <c r="L45" s="1">
        <f t="shared" si="17"/>
        <v>0.9932284156</v>
      </c>
      <c r="M45" s="1">
        <f t="shared" si="18"/>
        <v>0.9763554313</v>
      </c>
      <c r="N45" s="1">
        <f t="shared" si="19"/>
        <v>0.9785454313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1">
        <f t="shared" si="8"/>
        <v>0.9635167835</v>
      </c>
      <c r="D46" s="1">
        <f t="shared" si="9"/>
        <v>0.984997187</v>
      </c>
      <c r="E46" s="1">
        <f t="shared" si="10"/>
        <v>0.9848837942</v>
      </c>
      <c r="F46" s="1">
        <f t="shared" si="11"/>
        <v>0.9752824418</v>
      </c>
      <c r="G46" s="1">
        <f t="shared" si="12"/>
        <v>0.9855960579</v>
      </c>
      <c r="H46" s="1">
        <f t="shared" si="13"/>
        <v>0.982510614</v>
      </c>
      <c r="I46" s="1">
        <f t="shared" si="14"/>
        <v>0.9402803908</v>
      </c>
      <c r="J46" s="1">
        <f t="shared" si="15"/>
        <v>0.9493050879</v>
      </c>
      <c r="K46" s="1">
        <f t="shared" si="16"/>
        <v>0.9461287744</v>
      </c>
      <c r="L46" s="1">
        <f t="shared" si="17"/>
        <v>0.9631324848</v>
      </c>
      <c r="M46" s="1">
        <f t="shared" si="18"/>
        <v>0.968728151</v>
      </c>
      <c r="N46" s="1">
        <f t="shared" si="19"/>
        <v>0.9770129621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1">
        <f t="shared" si="8"/>
        <v>0.7535521499</v>
      </c>
      <c r="D47" s="1">
        <f t="shared" si="9"/>
        <v>0.8627242608</v>
      </c>
      <c r="E47" s="1">
        <f t="shared" si="10"/>
        <v>0.8684890093</v>
      </c>
      <c r="F47" s="1">
        <f t="shared" si="11"/>
        <v>0.6359777792</v>
      </c>
      <c r="G47" s="1">
        <f t="shared" si="12"/>
        <v>0.8544443742</v>
      </c>
      <c r="H47" s="1">
        <f t="shared" si="13"/>
        <v>0.8616057284</v>
      </c>
      <c r="I47" s="1">
        <f t="shared" si="14"/>
        <v>0.2003398677</v>
      </c>
      <c r="J47" s="1">
        <f t="shared" si="15"/>
        <v>0.3292108002</v>
      </c>
      <c r="K47" s="1">
        <f t="shared" si="16"/>
        <v>0.2576102331</v>
      </c>
      <c r="L47" s="1">
        <f t="shared" si="17"/>
        <v>0.3755094363</v>
      </c>
      <c r="M47" s="1">
        <f t="shared" si="18"/>
        <v>0.7254179114</v>
      </c>
      <c r="N47" s="1">
        <f t="shared" si="19"/>
        <v>0.8015452398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1">
        <f t="shared" si="8"/>
        <v>0.02090959856</v>
      </c>
      <c r="D48" s="1">
        <f t="shared" si="9"/>
        <v>0.02556729387</v>
      </c>
      <c r="E48" s="1">
        <f t="shared" si="10"/>
        <v>0.0265163444</v>
      </c>
      <c r="F48" s="1">
        <f t="shared" si="11"/>
        <v>0.01129767181</v>
      </c>
      <c r="G48" s="1">
        <f t="shared" si="12"/>
        <v>0.02583865058</v>
      </c>
      <c r="H48" s="1">
        <f t="shared" si="13"/>
        <v>0.02743805842</v>
      </c>
      <c r="I48" s="1">
        <f t="shared" si="14"/>
        <v>0.0007889785762</v>
      </c>
      <c r="J48" s="1">
        <f t="shared" si="15"/>
        <v>0.005938896712</v>
      </c>
      <c r="K48" s="1">
        <f t="shared" si="16"/>
        <v>0.001537420823</v>
      </c>
      <c r="L48" s="1">
        <f t="shared" si="17"/>
        <v>0.003072292934</v>
      </c>
      <c r="M48" s="1">
        <f t="shared" si="18"/>
        <v>0.01531812115</v>
      </c>
      <c r="N48" s="1">
        <f t="shared" si="19"/>
        <v>0.02305089075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1">
        <f t="shared" si="8"/>
        <v>0.0008066017249</v>
      </c>
      <c r="D49" s="1">
        <f t="shared" si="9"/>
        <v>0.0008126523723</v>
      </c>
      <c r="E49" s="1">
        <f t="shared" si="10"/>
        <v>-0.0006928261006</v>
      </c>
      <c r="F49" s="1">
        <f t="shared" si="11"/>
        <v>-0.000686598839</v>
      </c>
      <c r="G49" s="1">
        <f t="shared" si="12"/>
        <v>0.00006317518479</v>
      </c>
      <c r="H49" s="1">
        <f t="shared" si="13"/>
        <v>-0.0006970407452</v>
      </c>
      <c r="I49" s="1">
        <f t="shared" si="14"/>
        <v>-0.00212417309</v>
      </c>
      <c r="J49" s="1">
        <f t="shared" si="15"/>
        <v>-0.002877609747</v>
      </c>
      <c r="K49" s="1">
        <f t="shared" si="16"/>
        <v>-0.002152389152</v>
      </c>
      <c r="L49" s="1">
        <f t="shared" si="17"/>
        <v>-0.002194494953</v>
      </c>
      <c r="M49" s="1">
        <f t="shared" si="18"/>
        <v>-0.002224623403</v>
      </c>
      <c r="N49" s="1">
        <f t="shared" si="19"/>
        <v>-0.0007023817125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1">
        <f t="shared" si="8"/>
        <v>0.00006204628653</v>
      </c>
      <c r="D50" s="1">
        <f t="shared" si="9"/>
        <v>0.002312933675</v>
      </c>
      <c r="E50" s="1">
        <f t="shared" si="10"/>
        <v>0.003842035649</v>
      </c>
      <c r="F50" s="1">
        <f t="shared" si="11"/>
        <v>0.003058485737</v>
      </c>
      <c r="G50" s="1">
        <f t="shared" si="12"/>
        <v>0.0008212774022</v>
      </c>
      <c r="H50" s="1">
        <f t="shared" si="13"/>
        <v>-0.002217856917</v>
      </c>
      <c r="I50" s="1">
        <f t="shared" si="14"/>
        <v>-0.001395885173</v>
      </c>
      <c r="J50" s="1">
        <f t="shared" si="15"/>
        <v>-0.002877609747</v>
      </c>
      <c r="K50" s="1">
        <f t="shared" si="16"/>
        <v>-0.003628313142</v>
      </c>
      <c r="L50" s="1">
        <f t="shared" si="17"/>
        <v>-0.002194494953</v>
      </c>
      <c r="M50" s="1">
        <f t="shared" si="18"/>
        <v>-0.002224623403</v>
      </c>
      <c r="N50" s="1">
        <f t="shared" si="19"/>
        <v>-0.003001085499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3" max="26" width="9.13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7"/>
      <c r="C24" s="8">
        <v>1.0</v>
      </c>
      <c r="D24" s="8">
        <v>2.0</v>
      </c>
      <c r="E24" s="8">
        <v>3.0</v>
      </c>
      <c r="F24" s="8">
        <v>4.0</v>
      </c>
      <c r="G24" s="8">
        <v>5.0</v>
      </c>
      <c r="H24" s="8">
        <v>6.0</v>
      </c>
      <c r="I24" s="8">
        <v>7.0</v>
      </c>
      <c r="J24" s="8">
        <v>8.0</v>
      </c>
      <c r="K24" s="8">
        <v>9.0</v>
      </c>
      <c r="L24" s="8">
        <v>10.0</v>
      </c>
      <c r="M24" s="8">
        <v>11.0</v>
      </c>
      <c r="N24" s="8">
        <v>12.0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8" t="s">
        <v>26</v>
      </c>
      <c r="C25" s="9">
        <v>0.104</v>
      </c>
      <c r="D25" s="9">
        <v>0.104</v>
      </c>
      <c r="E25" s="9">
        <v>0.11</v>
      </c>
      <c r="F25" s="9">
        <v>0.108</v>
      </c>
      <c r="G25" s="9">
        <v>0.108</v>
      </c>
      <c r="H25" s="9">
        <v>0.107</v>
      </c>
      <c r="I25" s="9">
        <v>0.107</v>
      </c>
      <c r="J25" s="9">
        <v>0.107</v>
      </c>
      <c r="K25" s="9">
        <v>0.106</v>
      </c>
      <c r="L25" s="9">
        <v>0.103</v>
      </c>
      <c r="M25" s="9">
        <v>0.102</v>
      </c>
      <c r="N25" s="9">
        <v>0.104</v>
      </c>
      <c r="O25" s="10">
        <v>600.0</v>
      </c>
      <c r="P25" s="1">
        <f>AVERAGE(C25:N25)</f>
        <v>0.1058333333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8" t="s">
        <v>27</v>
      </c>
      <c r="C26" s="11">
        <v>1.426</v>
      </c>
      <c r="D26" s="11">
        <v>1.42</v>
      </c>
      <c r="E26" s="11">
        <v>1.439</v>
      </c>
      <c r="F26" s="11">
        <v>1.428</v>
      </c>
      <c r="G26" s="11">
        <v>1.433</v>
      </c>
      <c r="H26" s="11">
        <v>1.421</v>
      </c>
      <c r="I26" s="11">
        <v>1.471</v>
      </c>
      <c r="J26" s="11">
        <v>1.454</v>
      </c>
      <c r="K26" s="11">
        <v>1.467</v>
      </c>
      <c r="L26" s="11">
        <v>1.442</v>
      </c>
      <c r="M26" s="11">
        <v>1.423</v>
      </c>
      <c r="N26" s="11">
        <v>1.421</v>
      </c>
      <c r="O26" s="10">
        <v>600.0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8" t="s">
        <v>28</v>
      </c>
      <c r="C27" s="11">
        <v>1.426</v>
      </c>
      <c r="D27" s="11">
        <v>1.446</v>
      </c>
      <c r="E27" s="11">
        <v>1.422</v>
      </c>
      <c r="F27" s="11">
        <v>1.435</v>
      </c>
      <c r="G27" s="11">
        <v>1.423</v>
      </c>
      <c r="H27" s="11">
        <v>1.419</v>
      </c>
      <c r="I27" s="11">
        <v>1.467</v>
      </c>
      <c r="J27" s="11">
        <v>1.455</v>
      </c>
      <c r="K27" s="11">
        <v>1.452</v>
      </c>
      <c r="L27" s="11">
        <v>1.435</v>
      </c>
      <c r="M27" s="11">
        <v>1.421</v>
      </c>
      <c r="N27" s="11">
        <v>1.41</v>
      </c>
      <c r="O27" s="10">
        <v>600.0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8" t="s">
        <v>29</v>
      </c>
      <c r="C28" s="11">
        <v>1.393</v>
      </c>
      <c r="D28" s="11">
        <v>1.403</v>
      </c>
      <c r="E28" s="11">
        <v>1.402</v>
      </c>
      <c r="F28" s="11">
        <v>1.395</v>
      </c>
      <c r="G28" s="11">
        <v>1.397</v>
      </c>
      <c r="H28" s="11">
        <v>1.399</v>
      </c>
      <c r="I28" s="11">
        <v>1.403</v>
      </c>
      <c r="J28" s="11">
        <v>1.411</v>
      </c>
      <c r="K28" s="11">
        <v>1.403</v>
      </c>
      <c r="L28" s="11">
        <v>1.403</v>
      </c>
      <c r="M28" s="11">
        <v>1.393</v>
      </c>
      <c r="N28" s="11">
        <v>1.392</v>
      </c>
      <c r="O28" s="10">
        <v>600.0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8" t="s">
        <v>30</v>
      </c>
      <c r="C29" s="13">
        <v>1.067</v>
      </c>
      <c r="D29" s="12">
        <v>1.309</v>
      </c>
      <c r="E29" s="14">
        <v>1.241</v>
      </c>
      <c r="F29" s="17">
        <v>1.107</v>
      </c>
      <c r="G29" s="14">
        <v>1.211</v>
      </c>
      <c r="H29" s="14">
        <v>1.22</v>
      </c>
      <c r="I29" s="15">
        <v>0.455</v>
      </c>
      <c r="J29" s="16">
        <v>0.636</v>
      </c>
      <c r="K29" s="21">
        <v>0.544</v>
      </c>
      <c r="L29" s="22">
        <v>0.712</v>
      </c>
      <c r="M29" s="17">
        <v>1.109</v>
      </c>
      <c r="N29" s="14">
        <v>1.23</v>
      </c>
      <c r="O29" s="10">
        <v>600.0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8" t="s">
        <v>31</v>
      </c>
      <c r="C30" s="9">
        <v>0.122</v>
      </c>
      <c r="D30" s="9">
        <v>0.135</v>
      </c>
      <c r="E30" s="9">
        <v>0.133</v>
      </c>
      <c r="F30" s="9">
        <v>0.128</v>
      </c>
      <c r="G30" s="9">
        <v>0.131</v>
      </c>
      <c r="H30" s="9">
        <v>0.132</v>
      </c>
      <c r="I30" s="9">
        <v>0.108</v>
      </c>
      <c r="J30" s="9">
        <v>0.122</v>
      </c>
      <c r="K30" s="9">
        <v>0.11</v>
      </c>
      <c r="L30" s="9">
        <v>0.114</v>
      </c>
      <c r="M30" s="21">
        <v>0.553</v>
      </c>
      <c r="N30" s="9">
        <v>0.13</v>
      </c>
      <c r="O30" s="10">
        <v>600.0</v>
      </c>
      <c r="P30" s="2" t="s">
        <v>48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8" t="s">
        <v>32</v>
      </c>
      <c r="C31" s="9">
        <v>0.109</v>
      </c>
      <c r="D31" s="9">
        <v>0.107</v>
      </c>
      <c r="E31" s="9">
        <v>0.107</v>
      </c>
      <c r="F31" s="9">
        <v>0.105</v>
      </c>
      <c r="G31" s="9">
        <v>0.105</v>
      </c>
      <c r="H31" s="9">
        <v>0.106</v>
      </c>
      <c r="I31" s="9">
        <v>0.102</v>
      </c>
      <c r="J31" s="9">
        <v>0.101</v>
      </c>
      <c r="K31" s="9">
        <v>0.102</v>
      </c>
      <c r="L31" s="9">
        <v>0.102</v>
      </c>
      <c r="M31" s="9">
        <v>0.103</v>
      </c>
      <c r="N31" s="9">
        <v>0.105</v>
      </c>
      <c r="O31" s="10">
        <v>600.0</v>
      </c>
      <c r="P31" s="2" t="s">
        <v>49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8" t="s">
        <v>33</v>
      </c>
      <c r="C32" s="9">
        <v>0.104</v>
      </c>
      <c r="D32" s="9">
        <v>0.106</v>
      </c>
      <c r="E32" s="9">
        <v>0.104</v>
      </c>
      <c r="F32" s="9">
        <v>0.106</v>
      </c>
      <c r="G32" s="9">
        <v>0.105</v>
      </c>
      <c r="H32" s="9">
        <v>0.104</v>
      </c>
      <c r="I32" s="9">
        <v>0.104</v>
      </c>
      <c r="J32" s="9">
        <v>0.102</v>
      </c>
      <c r="K32" s="9">
        <v>0.101</v>
      </c>
      <c r="L32" s="9">
        <v>0.101</v>
      </c>
      <c r="M32" s="9">
        <v>0.101</v>
      </c>
      <c r="N32" s="9">
        <v>0.102</v>
      </c>
      <c r="O32" s="10">
        <v>600.0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1">
        <f t="shared" ref="C35:N35" si="1">C26-$P$25</f>
        <v>1.320166667</v>
      </c>
      <c r="D35" s="1">
        <f t="shared" si="1"/>
        <v>1.314166667</v>
      </c>
      <c r="E35" s="1">
        <f t="shared" si="1"/>
        <v>1.333166667</v>
      </c>
      <c r="F35" s="1">
        <f t="shared" si="1"/>
        <v>1.322166667</v>
      </c>
      <c r="G35" s="1">
        <f t="shared" si="1"/>
        <v>1.327166667</v>
      </c>
      <c r="H35" s="1">
        <f t="shared" si="1"/>
        <v>1.315166667</v>
      </c>
      <c r="I35" s="1">
        <f t="shared" si="1"/>
        <v>1.365166667</v>
      </c>
      <c r="J35" s="1">
        <f t="shared" si="1"/>
        <v>1.348166667</v>
      </c>
      <c r="K35" s="1">
        <f t="shared" si="1"/>
        <v>1.361166667</v>
      </c>
      <c r="L35" s="1">
        <f t="shared" si="1"/>
        <v>1.336166667</v>
      </c>
      <c r="M35" s="1">
        <f t="shared" si="1"/>
        <v>1.317166667</v>
      </c>
      <c r="N35" s="1">
        <f t="shared" si="1"/>
        <v>1.315166667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1">
        <f t="shared" ref="C36:N36" si="2">C27-$P$25</f>
        <v>1.320166667</v>
      </c>
      <c r="D36" s="1">
        <f t="shared" si="2"/>
        <v>1.340166667</v>
      </c>
      <c r="E36" s="1">
        <f t="shared" si="2"/>
        <v>1.316166667</v>
      </c>
      <c r="F36" s="1">
        <f t="shared" si="2"/>
        <v>1.329166667</v>
      </c>
      <c r="G36" s="1">
        <f t="shared" si="2"/>
        <v>1.317166667</v>
      </c>
      <c r="H36" s="1">
        <f t="shared" si="2"/>
        <v>1.313166667</v>
      </c>
      <c r="I36" s="1">
        <f t="shared" si="2"/>
        <v>1.361166667</v>
      </c>
      <c r="J36" s="1">
        <f t="shared" si="2"/>
        <v>1.349166667</v>
      </c>
      <c r="K36" s="1">
        <f t="shared" si="2"/>
        <v>1.346166667</v>
      </c>
      <c r="L36" s="1">
        <f t="shared" si="2"/>
        <v>1.329166667</v>
      </c>
      <c r="M36" s="1">
        <f t="shared" si="2"/>
        <v>1.315166667</v>
      </c>
      <c r="N36" s="1">
        <f t="shared" si="2"/>
        <v>1.304166667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1">
        <f t="shared" ref="C37:N37" si="3">C28-$P$25</f>
        <v>1.287166667</v>
      </c>
      <c r="D37" s="1">
        <f t="shared" si="3"/>
        <v>1.297166667</v>
      </c>
      <c r="E37" s="1">
        <f t="shared" si="3"/>
        <v>1.296166667</v>
      </c>
      <c r="F37" s="1">
        <f t="shared" si="3"/>
        <v>1.289166667</v>
      </c>
      <c r="G37" s="1">
        <f t="shared" si="3"/>
        <v>1.291166667</v>
      </c>
      <c r="H37" s="1">
        <f t="shared" si="3"/>
        <v>1.293166667</v>
      </c>
      <c r="I37" s="1">
        <f t="shared" si="3"/>
        <v>1.297166667</v>
      </c>
      <c r="J37" s="1">
        <f t="shared" si="3"/>
        <v>1.305166667</v>
      </c>
      <c r="K37" s="1">
        <f t="shared" si="3"/>
        <v>1.297166667</v>
      </c>
      <c r="L37" s="1">
        <f t="shared" si="3"/>
        <v>1.297166667</v>
      </c>
      <c r="M37" s="1">
        <f t="shared" si="3"/>
        <v>1.287166667</v>
      </c>
      <c r="N37" s="1">
        <f t="shared" si="3"/>
        <v>1.286166667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1">
        <f t="shared" ref="C38:N38" si="4">C29-$P$25</f>
        <v>0.9611666667</v>
      </c>
      <c r="D38" s="1">
        <f t="shared" si="4"/>
        <v>1.203166667</v>
      </c>
      <c r="E38" s="1">
        <f t="shared" si="4"/>
        <v>1.135166667</v>
      </c>
      <c r="F38" s="1">
        <f t="shared" si="4"/>
        <v>1.001166667</v>
      </c>
      <c r="G38" s="1">
        <f t="shared" si="4"/>
        <v>1.105166667</v>
      </c>
      <c r="H38" s="1">
        <f t="shared" si="4"/>
        <v>1.114166667</v>
      </c>
      <c r="I38" s="1">
        <f t="shared" si="4"/>
        <v>0.3491666667</v>
      </c>
      <c r="J38" s="1">
        <f t="shared" si="4"/>
        <v>0.5301666667</v>
      </c>
      <c r="K38" s="1">
        <f t="shared" si="4"/>
        <v>0.4381666667</v>
      </c>
      <c r="L38" s="1">
        <f t="shared" si="4"/>
        <v>0.6061666667</v>
      </c>
      <c r="M38" s="1">
        <f t="shared" si="4"/>
        <v>1.003166667</v>
      </c>
      <c r="N38" s="1">
        <f t="shared" si="4"/>
        <v>1.124166667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1">
        <f t="shared" ref="C39:N39" si="5">C30-$P$25</f>
        <v>0.01616666667</v>
      </c>
      <c r="D39" s="1">
        <f t="shared" si="5"/>
        <v>0.02916666667</v>
      </c>
      <c r="E39" s="1">
        <f t="shared" si="5"/>
        <v>0.02716666667</v>
      </c>
      <c r="F39" s="1">
        <f t="shared" si="5"/>
        <v>0.02216666667</v>
      </c>
      <c r="G39" s="1">
        <f t="shared" si="5"/>
        <v>0.02516666667</v>
      </c>
      <c r="H39" s="1">
        <f t="shared" si="5"/>
        <v>0.02616666667</v>
      </c>
      <c r="I39" s="1">
        <f t="shared" si="5"/>
        <v>0.002166666667</v>
      </c>
      <c r="J39" s="1">
        <f t="shared" si="5"/>
        <v>0.01616666667</v>
      </c>
      <c r="K39" s="1">
        <f t="shared" si="5"/>
        <v>0.004166666667</v>
      </c>
      <c r="L39" s="1">
        <f t="shared" si="5"/>
        <v>0.008166666667</v>
      </c>
      <c r="M39" s="1">
        <f t="shared" si="5"/>
        <v>0.4471666667</v>
      </c>
      <c r="N39" s="1">
        <f t="shared" si="5"/>
        <v>0.02416666667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1">
        <f t="shared" ref="C40:N40" si="6">C31-$P$25</f>
        <v>0.003166666667</v>
      </c>
      <c r="D40" s="1">
        <f t="shared" si="6"/>
        <v>0.001166666667</v>
      </c>
      <c r="E40" s="1">
        <f t="shared" si="6"/>
        <v>0.001166666667</v>
      </c>
      <c r="F40" s="1">
        <f t="shared" si="6"/>
        <v>-0.0008333333333</v>
      </c>
      <c r="G40" s="1">
        <f t="shared" si="6"/>
        <v>-0.0008333333333</v>
      </c>
      <c r="H40" s="1">
        <f t="shared" si="6"/>
        <v>0.0001666666667</v>
      </c>
      <c r="I40" s="1">
        <f t="shared" si="6"/>
        <v>-0.003833333333</v>
      </c>
      <c r="J40" s="1">
        <f t="shared" si="6"/>
        <v>-0.004833333333</v>
      </c>
      <c r="K40" s="1">
        <f t="shared" si="6"/>
        <v>-0.003833333333</v>
      </c>
      <c r="L40" s="1">
        <f t="shared" si="6"/>
        <v>-0.003833333333</v>
      </c>
      <c r="M40" s="1">
        <f t="shared" si="6"/>
        <v>-0.002833333333</v>
      </c>
      <c r="N40" s="1">
        <f t="shared" si="6"/>
        <v>-0.0008333333333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1">
        <f t="shared" ref="C41:N41" si="7">C32-$P$25</f>
        <v>-0.001833333333</v>
      </c>
      <c r="D41" s="1">
        <f t="shared" si="7"/>
        <v>0.0001666666667</v>
      </c>
      <c r="E41" s="1">
        <f t="shared" si="7"/>
        <v>-0.001833333333</v>
      </c>
      <c r="F41" s="1">
        <f t="shared" si="7"/>
        <v>0.0001666666667</v>
      </c>
      <c r="G41" s="1">
        <f t="shared" si="7"/>
        <v>-0.0008333333333</v>
      </c>
      <c r="H41" s="1">
        <f t="shared" si="7"/>
        <v>-0.001833333333</v>
      </c>
      <c r="I41" s="1">
        <f t="shared" si="7"/>
        <v>-0.001833333333</v>
      </c>
      <c r="J41" s="1">
        <f t="shared" si="7"/>
        <v>-0.003833333333</v>
      </c>
      <c r="K41" s="1">
        <f t="shared" si="7"/>
        <v>-0.004833333333</v>
      </c>
      <c r="L41" s="1">
        <f t="shared" si="7"/>
        <v>-0.004833333333</v>
      </c>
      <c r="M41" s="1">
        <f t="shared" si="7"/>
        <v>-0.004833333333</v>
      </c>
      <c r="N41" s="1">
        <f t="shared" si="7"/>
        <v>-0.003833333333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47" si="18">M35/$M$35</f>
        <v>1</v>
      </c>
      <c r="N44" s="1">
        <f t="shared" ref="N44:N50" si="19">N35/$N$35</f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1">
        <f t="shared" si="8"/>
        <v>1</v>
      </c>
      <c r="D45" s="1">
        <f t="shared" si="9"/>
        <v>1.019784401</v>
      </c>
      <c r="E45" s="1">
        <f t="shared" si="10"/>
        <v>0.9872484061</v>
      </c>
      <c r="F45" s="1">
        <f t="shared" si="11"/>
        <v>1.00529434</v>
      </c>
      <c r="G45" s="1">
        <f t="shared" si="12"/>
        <v>0.9924651513</v>
      </c>
      <c r="H45" s="1">
        <f t="shared" si="13"/>
        <v>0.9984792802</v>
      </c>
      <c r="I45" s="1">
        <f t="shared" si="14"/>
        <v>0.9970699548</v>
      </c>
      <c r="J45" s="1">
        <f t="shared" si="15"/>
        <v>1.000741748</v>
      </c>
      <c r="K45" s="1">
        <f t="shared" si="16"/>
        <v>0.9889800416</v>
      </c>
      <c r="L45" s="1">
        <f t="shared" si="17"/>
        <v>0.9947611326</v>
      </c>
      <c r="M45" s="1">
        <f t="shared" si="18"/>
        <v>0.9984815893</v>
      </c>
      <c r="N45" s="1">
        <f t="shared" si="19"/>
        <v>0.9916360411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1">
        <f t="shared" si="8"/>
        <v>0.9750031562</v>
      </c>
      <c r="D46" s="1">
        <f t="shared" si="9"/>
        <v>0.9870640457</v>
      </c>
      <c r="E46" s="1">
        <f t="shared" si="10"/>
        <v>0.9722465308</v>
      </c>
      <c r="F46" s="1">
        <f t="shared" si="11"/>
        <v>0.9750409681</v>
      </c>
      <c r="G46" s="1">
        <f t="shared" si="12"/>
        <v>0.9728745448</v>
      </c>
      <c r="H46" s="1">
        <f t="shared" si="13"/>
        <v>0.9832720821</v>
      </c>
      <c r="I46" s="1">
        <f t="shared" si="14"/>
        <v>0.9501892321</v>
      </c>
      <c r="J46" s="1">
        <f t="shared" si="15"/>
        <v>0.9681048337</v>
      </c>
      <c r="K46" s="1">
        <f t="shared" si="16"/>
        <v>0.952981511</v>
      </c>
      <c r="L46" s="1">
        <f t="shared" si="17"/>
        <v>0.9708120244</v>
      </c>
      <c r="M46" s="1">
        <f t="shared" si="18"/>
        <v>0.977223839</v>
      </c>
      <c r="N46" s="1">
        <f t="shared" si="19"/>
        <v>0.9779495628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1">
        <f t="shared" si="8"/>
        <v>0.7280646383</v>
      </c>
      <c r="D47" s="1">
        <f t="shared" si="9"/>
        <v>0.9155358275</v>
      </c>
      <c r="E47" s="1">
        <f t="shared" si="10"/>
        <v>0.8514814352</v>
      </c>
      <c r="F47" s="1">
        <f t="shared" si="11"/>
        <v>0.7572166898</v>
      </c>
      <c r="G47" s="1">
        <f t="shared" si="12"/>
        <v>0.8327263594</v>
      </c>
      <c r="H47" s="1">
        <f t="shared" si="13"/>
        <v>0.8471676594</v>
      </c>
      <c r="I47" s="1">
        <f t="shared" si="14"/>
        <v>0.2557685264</v>
      </c>
      <c r="J47" s="1">
        <f t="shared" si="15"/>
        <v>0.3932500927</v>
      </c>
      <c r="K47" s="1">
        <f t="shared" si="16"/>
        <v>0.3219052284</v>
      </c>
      <c r="L47" s="1">
        <f t="shared" si="17"/>
        <v>0.4536609704</v>
      </c>
      <c r="M47" s="1">
        <f t="shared" si="18"/>
        <v>0.7616095154</v>
      </c>
      <c r="N47" s="1">
        <f t="shared" si="19"/>
        <v>0.8547712584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1">
        <f t="shared" si="8"/>
        <v>0.01224592854</v>
      </c>
      <c r="D48" s="1">
        <f t="shared" si="9"/>
        <v>0.02219403932</v>
      </c>
      <c r="E48" s="1">
        <f t="shared" si="10"/>
        <v>0.02037754719</v>
      </c>
      <c r="F48" s="1">
        <f t="shared" si="11"/>
        <v>0.01676541031</v>
      </c>
      <c r="G48" s="1">
        <f t="shared" si="12"/>
        <v>0.0189627025</v>
      </c>
      <c r="H48" s="1">
        <f t="shared" si="13"/>
        <v>0.01989608415</v>
      </c>
      <c r="I48" s="1">
        <f t="shared" si="14"/>
        <v>0.001587107801</v>
      </c>
      <c r="J48" s="1">
        <f t="shared" si="15"/>
        <v>0.01199159352</v>
      </c>
      <c r="K48" s="1">
        <f t="shared" si="16"/>
        <v>0.003061099547</v>
      </c>
      <c r="L48" s="1">
        <f t="shared" si="17"/>
        <v>0.006112011975</v>
      </c>
      <c r="N48" s="1">
        <f t="shared" si="19"/>
        <v>0.01837536434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1">
        <f t="shared" si="8"/>
        <v>0.002398687034</v>
      </c>
      <c r="D49" s="1">
        <f t="shared" si="9"/>
        <v>0.0008877615726</v>
      </c>
      <c r="E49" s="1">
        <f t="shared" si="10"/>
        <v>0.0008751093887</v>
      </c>
      <c r="F49" s="1">
        <f t="shared" si="11"/>
        <v>-0.0006302785831</v>
      </c>
      <c r="G49" s="1">
        <f t="shared" si="12"/>
        <v>-0.0006279040563</v>
      </c>
      <c r="H49" s="1">
        <f t="shared" si="13"/>
        <v>0.0001267266506</v>
      </c>
      <c r="I49" s="1">
        <f t="shared" si="14"/>
        <v>-0.002807959956</v>
      </c>
      <c r="J49" s="1">
        <f t="shared" si="15"/>
        <v>-0.003585115589</v>
      </c>
      <c r="K49" s="1">
        <f t="shared" si="16"/>
        <v>-0.002816211583</v>
      </c>
      <c r="L49" s="1">
        <f t="shared" si="17"/>
        <v>-0.00286890358</v>
      </c>
      <c r="M49" s="1">
        <f t="shared" ref="M49:M50" si="20">M40/$M$35</f>
        <v>-0.002151081868</v>
      </c>
      <c r="N49" s="1">
        <f t="shared" si="19"/>
        <v>-0.0006336332531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1">
        <f t="shared" si="8"/>
        <v>-0.001388713546</v>
      </c>
      <c r="D50" s="1">
        <f t="shared" si="9"/>
        <v>0.0001268230818</v>
      </c>
      <c r="E50" s="1">
        <f t="shared" si="10"/>
        <v>-0.001375171896</v>
      </c>
      <c r="F50" s="1">
        <f t="shared" si="11"/>
        <v>0.0001260557166</v>
      </c>
      <c r="G50" s="1">
        <f t="shared" si="12"/>
        <v>-0.0006279040563</v>
      </c>
      <c r="H50" s="1">
        <f t="shared" si="13"/>
        <v>-0.001393993157</v>
      </c>
      <c r="I50" s="1">
        <f t="shared" si="14"/>
        <v>-0.00134293737</v>
      </c>
      <c r="J50" s="1">
        <f t="shared" si="15"/>
        <v>-0.002843367536</v>
      </c>
      <c r="K50" s="1">
        <f t="shared" si="16"/>
        <v>-0.003550875474</v>
      </c>
      <c r="L50" s="1">
        <f t="shared" si="17"/>
        <v>-0.003617313209</v>
      </c>
      <c r="M50" s="1">
        <f t="shared" si="20"/>
        <v>-0.003669492598</v>
      </c>
      <c r="N50" s="1">
        <f t="shared" si="19"/>
        <v>-0.002914712964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Biotek2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