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Sheet1" sheetId="1" r:id="rId4"/>
    <sheet state="visible" name="Plate 2 - Sheet1" sheetId="2" r:id="rId5"/>
    <sheet state="visible" name="Plate 3 - Sheet1" sheetId="3" r:id="rId6"/>
  </sheets>
  <definedNames>
    <definedName name="MethodPointer1">-34909632</definedName>
    <definedName name="MethodPointer2">554</definedName>
  </definedNames>
  <calcPr/>
  <extLst>
    <ext uri="GoogleSheetsCustomDataVersion2">
      <go:sheetsCustomData xmlns:go="http://customooxmlschemas.google.com/" r:id="rId7" roundtripDataChecksum="IhsUMZC51pzeOmhKjpcg5S36uTCikGNooM9rbrsFsCc="/>
    </ext>
  </extLst>
</workbook>
</file>

<file path=xl/sharedStrings.xml><?xml version="1.0" encoding="utf-8"?>
<sst xmlns="http://schemas.openxmlformats.org/spreadsheetml/2006/main" count="465" uniqueCount="148">
  <si>
    <t>Software Version</t>
  </si>
  <si>
    <t>3.10.06</t>
  </si>
  <si>
    <t>Experiment File Path:</t>
  </si>
  <si>
    <t>C:\Users\user1\Desktop\Erika\2025_10_02_TYE7MIC_FLC.xpt</t>
  </si>
  <si>
    <t>Protocol File Path:</t>
  </si>
  <si>
    <t>C:\Users\Public\Documents\Protocols\InitialOD.prt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</si>
  <si>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</si>
  <si>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</si>
  <si>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</si>
  <si>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</si>
  <si>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</si>
  <si>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</si>
  <si>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</si>
  <si>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</si>
  <si>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</si>
  <si>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</si>
  <si>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</si>
  <si>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</si>
  <si>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</si>
  <si>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</si>
  <si>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</si>
  <si>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</si>
  <si>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</si>
  <si>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</si>
  <si>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</si>
  <si>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</si>
  <si>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</si>
  <si>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</si>
  <si>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</si>
  <si>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</si>
  <si>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</si>
  <si>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</si>
  <si>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</si>
  <si>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</si>
  <si>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</si>
  <si>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</si>
  <si>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</si>
  <si>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</si>
  <si>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</si>
  <si>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</si>
  <si>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</si>
  <si>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</si>
  <si>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</si>
  <si>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</si>
  <si>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</si>
  <si>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</si>
  <si>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</si>
  <si>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</si>
  <si>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</si>
  <si>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</si>
  <si>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</si>
  <si>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</si>
  <si>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</si>
  <si>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</si>
  <si>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</si>
  <si>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</si>
  <si>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</si>
  <si>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</si>
  <si>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</si>
  <si>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</si>
  <si>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</si>
  <si>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</si>
  <si>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</si>
  <si>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</si>
  <si>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</si>
  <si>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</si>
  <si>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</si>
  <si>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</si>
  <si>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</si>
  <si>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</si>
  <si>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</si>
  <si>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</si>
  <si>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</si>
  <si>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</si>
  <si>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</si>
  <si>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</si>
  <si>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</si>
  <si>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</si>
  <si>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</si>
  <si>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</si>
  <si>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</si>
  <si>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</si>
  <si>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</si>
  <si>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</si>
  <si>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</si>
  <si>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</si>
  <si>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</si>
  <si>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</si>
  <si>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</si>
  <si>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</si>
  <si>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</si>
  <si>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</si>
  <si>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</si>
  <si>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</si>
  <si>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</si>
  <si>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</si>
  <si>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</si>
  <si>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</si>
  <si>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</si>
  <si>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</si>
  <si>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</si>
  <si>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</si>
  <si>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</si>
  <si>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</si>
  <si>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</si>
  <si>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</si>
  <si>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</si>
  <si>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</si>
  <si>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</si>
  <si>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</si>
  <si>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</si>
  <si>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</si>
  <si>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</si>
  <si>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</si>
  <si>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</si>
  <si>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</si>
  <si>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</si>
  <si>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</si>
  <si>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</si>
  <si>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</si>
  <si>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</si>
  <si>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</si>
  <si>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</si>
  <si>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</si>
  <si>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</si>
  <si>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</si>
  <si>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</si>
  <si>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</si>
  <si>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</si>
  <si>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</si>
  <si>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Results</t>
  </si>
  <si>
    <t>Actual Temperature:</t>
  </si>
  <si>
    <t>FLC</t>
  </si>
  <si>
    <t>C11</t>
  </si>
  <si>
    <t>C12</t>
  </si>
  <si>
    <t>C1</t>
  </si>
  <si>
    <t>C3</t>
  </si>
  <si>
    <t>C9</t>
  </si>
  <si>
    <t>C2</t>
  </si>
  <si>
    <t>no drug</t>
  </si>
  <si>
    <t>0.125 μg/ml</t>
  </si>
  <si>
    <t>0.25 μg/ml</t>
  </si>
  <si>
    <t>0.5 μg/ml</t>
  </si>
  <si>
    <t>1 μg/ml</t>
  </si>
  <si>
    <t>2 μg/ml</t>
  </si>
  <si>
    <t>4 μg/ml</t>
  </si>
  <si>
    <t>Plate 2</t>
  </si>
  <si>
    <t>Plate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</si>
</sst>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"/>
  </numFmts>
  <fonts count="8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  <font>
      <color rgb="FF27413E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A6CAF0"/>
        <bgColor rgb="FFA6CAF0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  <fill>
      <patternFill patternType="solid">
        <fgColor rgb="FF428EC7"/>
        <bgColor rgb="FF428EC7"/>
      </patternFill>
    </fill>
    <fill>
      <patternFill patternType="solid">
        <fgColor rgb="FF5197CC"/>
        <bgColor rgb="FF5197CC"/>
      </patternFill>
    </fill>
    <fill>
      <patternFill patternType="solid">
        <fgColor rgb="FF60A0D1"/>
        <bgColor rgb="FF60A0D1"/>
      </patternFill>
    </fill>
    <fill>
      <patternFill patternType="solid">
        <fgColor rgb="FFBAD7EF"/>
        <bgColor rgb="FFBAD7EF"/>
      </patternFill>
    </fill>
    <fill>
      <patternFill patternType="solid">
        <fgColor rgb="FF7EB2DB"/>
        <bgColor rgb="FF7EB2DB"/>
      </patternFill>
    </fill>
    <fill>
      <patternFill patternType="solid">
        <fgColor rgb="FF8DBCE0"/>
        <bgColor rgb="FF8DBCE0"/>
      </patternFill>
    </fill>
    <fill>
      <patternFill patternType="solid">
        <fgColor rgb="FF6FA9D6"/>
        <bgColor rgb="FF6FA9D6"/>
      </patternFill>
    </fill>
    <fill>
      <patternFill patternType="solid">
        <fgColor rgb="FFC9E0F4"/>
        <bgColor rgb="FFC9E0F4"/>
      </patternFill>
    </fill>
    <fill>
      <patternFill patternType="solid">
        <fgColor rgb="FFABCEEA"/>
        <bgColor rgb="FFABCEEA"/>
      </patternFill>
    </fill>
    <fill>
      <patternFill patternType="solid">
        <fgColor rgb="FFD8E9F9"/>
        <bgColor rgb="FFD8E9F9"/>
      </patternFill>
    </fill>
    <fill>
      <patternFill patternType="solid">
        <fgColor rgb="FF9CC5E5"/>
        <bgColor rgb="FF9CC5E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14" fontId="4" numFmtId="0" xfId="0" applyAlignment="1" applyBorder="1" applyFill="1" applyFont="1">
      <alignment horizontal="center" shrinkToFit="0" vertical="center" wrapText="1"/>
    </xf>
    <xf borderId="1" fillId="15" fontId="4" numFmtId="0" xfId="0" applyAlignment="1" applyBorder="1" applyFill="1" applyFont="1">
      <alignment horizontal="center" shrinkToFit="0" vertical="center" wrapText="1"/>
    </xf>
    <xf borderId="1" fillId="16" fontId="4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/>
    </xf>
    <xf borderId="0" fillId="0" fontId="2" numFmtId="164" xfId="0" applyFont="1" applyNumberFormat="1"/>
    <xf borderId="0" fillId="0" fontId="2" numFmtId="0" xfId="0" applyFont="1"/>
    <xf borderId="1" fillId="17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75"/>
    <col customWidth="1" min="3" max="29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1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2">
        <v>45932.0</v>
      </c>
    </row>
    <row r="8" ht="12.75" customHeight="1">
      <c r="A8" s="1" t="s">
        <v>9</v>
      </c>
      <c r="B8" s="3">
        <v>0.7166087962962964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1803065.0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4" t="s">
        <v>15</v>
      </c>
      <c r="B13" s="5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4" t="s">
        <v>24</v>
      </c>
      <c r="B21" s="5"/>
    </row>
    <row r="22" ht="12.75" customHeight="1"/>
    <row r="23" ht="12.75" customHeight="1"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</row>
    <row r="24" ht="12.75" customHeight="1"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</row>
    <row r="25" ht="12.75" customHeight="1"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</row>
    <row r="26" ht="12.75" customHeight="1"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</row>
    <row r="27" ht="12.75" customHeight="1"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</row>
    <row r="28" ht="12.75" customHeight="1"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</row>
    <row r="29" ht="12.75" customHeight="1"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</row>
    <row r="30" ht="12.75" customHeight="1"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</row>
    <row r="31" ht="12.75" customHeight="1"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</row>
    <row r="32" ht="12.75" customHeight="1"/>
    <row r="33" ht="12.75" customHeight="1">
      <c r="A33" s="4" t="s">
        <v>130</v>
      </c>
      <c r="B33" s="5"/>
    </row>
    <row r="34" ht="12.75" customHeight="1">
      <c r="A34" s="1" t="s">
        <v>131</v>
      </c>
      <c r="B34" s="1">
        <v>29.6</v>
      </c>
    </row>
    <row r="35" ht="12.75" customHeight="1"/>
    <row r="36" ht="12.75" customHeight="1"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</row>
    <row r="37" ht="12.75" customHeight="1">
      <c r="B37" s="7" t="s">
        <v>25</v>
      </c>
      <c r="C37" s="10">
        <v>0.098</v>
      </c>
      <c r="D37" s="10">
        <v>0.106</v>
      </c>
      <c r="E37" s="10">
        <v>0.108</v>
      </c>
      <c r="F37" s="10">
        <v>0.108</v>
      </c>
      <c r="G37" s="10">
        <v>0.1</v>
      </c>
      <c r="H37" s="10">
        <v>0.093</v>
      </c>
      <c r="I37" s="10">
        <v>0.099</v>
      </c>
      <c r="J37" s="10">
        <v>0.098</v>
      </c>
      <c r="K37" s="10">
        <v>0.097</v>
      </c>
      <c r="L37" s="10">
        <v>0.098</v>
      </c>
      <c r="M37" s="10">
        <v>0.1</v>
      </c>
      <c r="N37" s="10">
        <v>0.091</v>
      </c>
      <c r="O37" s="9">
        <v>600.0</v>
      </c>
      <c r="P37" s="1">
        <f>AVERAGE(C37:N37)</f>
        <v>0.09966666667</v>
      </c>
    </row>
    <row r="38" ht="12.75" customHeight="1">
      <c r="B38" s="7" t="s">
        <v>39</v>
      </c>
      <c r="C38" s="11">
        <v>1.15</v>
      </c>
      <c r="D38" s="12">
        <v>1.095</v>
      </c>
      <c r="E38" s="12">
        <v>1.069</v>
      </c>
      <c r="F38" s="13">
        <v>1.012</v>
      </c>
      <c r="G38" s="11">
        <v>1.108</v>
      </c>
      <c r="H38" s="12">
        <v>1.09</v>
      </c>
      <c r="I38" s="11">
        <v>1.158</v>
      </c>
      <c r="J38" s="11">
        <v>1.118</v>
      </c>
      <c r="K38" s="11">
        <v>1.119</v>
      </c>
      <c r="L38" s="11">
        <v>1.152</v>
      </c>
      <c r="M38" s="11">
        <v>1.12</v>
      </c>
      <c r="N38" s="11">
        <v>1.119</v>
      </c>
      <c r="O38" s="9">
        <v>600.0</v>
      </c>
    </row>
    <row r="39" ht="12.75" customHeight="1">
      <c r="B39" s="7" t="s">
        <v>52</v>
      </c>
      <c r="C39" s="13">
        <v>0.966</v>
      </c>
      <c r="D39" s="13">
        <v>0.949</v>
      </c>
      <c r="E39" s="14">
        <v>0.919</v>
      </c>
      <c r="F39" s="13">
        <v>1.018</v>
      </c>
      <c r="G39" s="14">
        <v>0.885</v>
      </c>
      <c r="H39" s="14">
        <v>0.944</v>
      </c>
      <c r="I39" s="13">
        <v>1.007</v>
      </c>
      <c r="J39" s="13">
        <v>0.963</v>
      </c>
      <c r="K39" s="13">
        <v>1.02</v>
      </c>
      <c r="L39" s="12">
        <v>1.028</v>
      </c>
      <c r="M39" s="15">
        <v>0.855</v>
      </c>
      <c r="N39" s="13">
        <v>0.983</v>
      </c>
      <c r="O39" s="9">
        <v>600.0</v>
      </c>
    </row>
    <row r="40" ht="12.75" customHeight="1">
      <c r="B40" s="7" t="s">
        <v>65</v>
      </c>
      <c r="C40" s="13">
        <v>0.972</v>
      </c>
      <c r="D40" s="14">
        <v>0.886</v>
      </c>
      <c r="E40" s="15">
        <v>0.863</v>
      </c>
      <c r="F40" s="13">
        <v>0.981</v>
      </c>
      <c r="G40" s="11">
        <v>1.136</v>
      </c>
      <c r="H40" s="13">
        <v>1.017</v>
      </c>
      <c r="I40" s="12">
        <v>1.099</v>
      </c>
      <c r="J40" s="12">
        <v>1.053</v>
      </c>
      <c r="K40" s="13">
        <v>0.99</v>
      </c>
      <c r="L40" s="13">
        <v>1.016</v>
      </c>
      <c r="M40" s="13">
        <v>0.967</v>
      </c>
      <c r="N40" s="12">
        <v>1.026</v>
      </c>
      <c r="O40" s="9">
        <v>600.0</v>
      </c>
    </row>
    <row r="41" ht="12.75" customHeight="1">
      <c r="B41" s="7" t="s">
        <v>78</v>
      </c>
      <c r="C41" s="13">
        <v>0.98</v>
      </c>
      <c r="D41" s="14">
        <v>0.882</v>
      </c>
      <c r="E41" s="14">
        <v>0.898</v>
      </c>
      <c r="F41" s="13">
        <v>1.024</v>
      </c>
      <c r="G41" s="11">
        <v>1.162</v>
      </c>
      <c r="H41" s="12">
        <v>1.03</v>
      </c>
      <c r="I41" s="14">
        <v>0.916</v>
      </c>
      <c r="J41" s="11">
        <v>1.182</v>
      </c>
      <c r="K41" s="12">
        <v>1.059</v>
      </c>
      <c r="L41" s="13">
        <v>1.01</v>
      </c>
      <c r="M41" s="13">
        <v>1.018</v>
      </c>
      <c r="N41" s="13">
        <v>0.997</v>
      </c>
      <c r="O41" s="9">
        <v>600.0</v>
      </c>
    </row>
    <row r="42" ht="12.75" customHeight="1">
      <c r="B42" s="7" t="s">
        <v>91</v>
      </c>
      <c r="C42" s="13">
        <v>0.98</v>
      </c>
      <c r="D42" s="13">
        <v>0.958</v>
      </c>
      <c r="E42" s="13">
        <v>0.967</v>
      </c>
      <c r="F42" s="16">
        <v>0.336</v>
      </c>
      <c r="G42" s="17">
        <v>0.697</v>
      </c>
      <c r="H42" s="18">
        <v>0.617</v>
      </c>
      <c r="I42" s="16">
        <v>0.352</v>
      </c>
      <c r="J42" s="19">
        <v>0.734</v>
      </c>
      <c r="K42" s="18">
        <v>0.618</v>
      </c>
      <c r="L42" s="20">
        <v>0.303</v>
      </c>
      <c r="M42" s="18">
        <v>0.568</v>
      </c>
      <c r="N42" s="21">
        <v>0.431</v>
      </c>
      <c r="O42" s="9">
        <v>600.0</v>
      </c>
    </row>
    <row r="43" ht="12.75" customHeight="1">
      <c r="B43" s="7" t="s">
        <v>104</v>
      </c>
      <c r="C43" s="13">
        <v>0.951</v>
      </c>
      <c r="D43" s="13">
        <v>0.979</v>
      </c>
      <c r="E43" s="13">
        <v>0.948</v>
      </c>
      <c r="F43" s="22">
        <v>0.198</v>
      </c>
      <c r="G43" s="22">
        <v>0.235</v>
      </c>
      <c r="H43" s="22">
        <v>0.227</v>
      </c>
      <c r="I43" s="22">
        <v>0.209</v>
      </c>
      <c r="J43" s="22">
        <v>0.243</v>
      </c>
      <c r="K43" s="22">
        <v>0.224</v>
      </c>
      <c r="L43" s="22">
        <v>0.193</v>
      </c>
      <c r="M43" s="20">
        <v>0.261</v>
      </c>
      <c r="N43" s="22">
        <v>0.194</v>
      </c>
      <c r="O43" s="9">
        <v>600.0</v>
      </c>
    </row>
    <row r="44" ht="12.75" customHeight="1">
      <c r="B44" s="7" t="s">
        <v>117</v>
      </c>
      <c r="C44" s="20">
        <v>0.302</v>
      </c>
      <c r="D44" s="16">
        <v>0.379</v>
      </c>
      <c r="E44" s="20">
        <v>0.3</v>
      </c>
      <c r="F44" s="10">
        <v>0.129</v>
      </c>
      <c r="G44" s="10">
        <v>0.158</v>
      </c>
      <c r="H44" s="10">
        <v>0.154</v>
      </c>
      <c r="I44" s="10">
        <v>0.163</v>
      </c>
      <c r="J44" s="10">
        <v>0.156</v>
      </c>
      <c r="K44" s="10">
        <v>0.155</v>
      </c>
      <c r="L44" s="10">
        <v>0.15</v>
      </c>
      <c r="M44" s="10">
        <v>0.162</v>
      </c>
      <c r="N44" s="10">
        <v>0.142</v>
      </c>
      <c r="O44" s="9">
        <v>600.0</v>
      </c>
    </row>
    <row r="45" ht="12.75" customHeight="1"/>
    <row r="46" ht="12.75" customHeight="1">
      <c r="C46" s="1">
        <f t="shared" ref="C46:N46" si="1">C38-$P$37</f>
        <v>1.050333333</v>
      </c>
      <c r="D46" s="1">
        <f t="shared" si="1"/>
        <v>0.9953333333</v>
      </c>
      <c r="E46" s="1">
        <f t="shared" si="1"/>
        <v>0.9693333333</v>
      </c>
      <c r="F46" s="1">
        <f t="shared" si="1"/>
        <v>0.9123333333</v>
      </c>
      <c r="G46" s="1">
        <f t="shared" si="1"/>
        <v>1.008333333</v>
      </c>
      <c r="H46" s="1">
        <f t="shared" si="1"/>
        <v>0.9903333333</v>
      </c>
      <c r="I46" s="1">
        <f t="shared" si="1"/>
        <v>1.058333333</v>
      </c>
      <c r="J46" s="1">
        <f t="shared" si="1"/>
        <v>1.018333333</v>
      </c>
      <c r="K46" s="1">
        <f t="shared" si="1"/>
        <v>1.019333333</v>
      </c>
      <c r="L46" s="1">
        <f t="shared" si="1"/>
        <v>1.052333333</v>
      </c>
      <c r="M46" s="1">
        <f t="shared" si="1"/>
        <v>1.020333333</v>
      </c>
      <c r="N46" s="1">
        <f t="shared" si="1"/>
        <v>1.019333333</v>
      </c>
    </row>
    <row r="47" ht="12.75" customHeight="1">
      <c r="C47" s="1">
        <f t="shared" ref="C47:N47" si="2">C39-$P$37</f>
        <v>0.8663333333</v>
      </c>
      <c r="D47" s="1">
        <f t="shared" si="2"/>
        <v>0.8493333333</v>
      </c>
      <c r="E47" s="1">
        <f t="shared" si="2"/>
        <v>0.8193333333</v>
      </c>
      <c r="F47" s="1">
        <f t="shared" si="2"/>
        <v>0.9183333333</v>
      </c>
      <c r="G47" s="1">
        <f t="shared" si="2"/>
        <v>0.7853333333</v>
      </c>
      <c r="H47" s="1">
        <f t="shared" si="2"/>
        <v>0.8443333333</v>
      </c>
      <c r="I47" s="1">
        <f t="shared" si="2"/>
        <v>0.9073333333</v>
      </c>
      <c r="J47" s="1">
        <f t="shared" si="2"/>
        <v>0.8633333333</v>
      </c>
      <c r="K47" s="1">
        <f t="shared" si="2"/>
        <v>0.9203333333</v>
      </c>
      <c r="L47" s="1">
        <f t="shared" si="2"/>
        <v>0.9283333333</v>
      </c>
      <c r="M47" s="1">
        <f t="shared" si="2"/>
        <v>0.7553333333</v>
      </c>
      <c r="N47" s="1">
        <f t="shared" si="2"/>
        <v>0.8833333333</v>
      </c>
    </row>
    <row r="48" ht="12.75" customHeight="1">
      <c r="C48" s="1">
        <f t="shared" ref="C48:N48" si="3">C40-$P$37</f>
        <v>0.8723333333</v>
      </c>
      <c r="D48" s="1">
        <f t="shared" si="3"/>
        <v>0.7863333333</v>
      </c>
      <c r="E48" s="1">
        <f t="shared" si="3"/>
        <v>0.7633333333</v>
      </c>
      <c r="F48" s="1">
        <f t="shared" si="3"/>
        <v>0.8813333333</v>
      </c>
      <c r="G48" s="1">
        <f t="shared" si="3"/>
        <v>1.036333333</v>
      </c>
      <c r="H48" s="1">
        <f t="shared" si="3"/>
        <v>0.9173333333</v>
      </c>
      <c r="I48" s="1">
        <f t="shared" si="3"/>
        <v>0.9993333333</v>
      </c>
      <c r="J48" s="1">
        <f t="shared" si="3"/>
        <v>0.9533333333</v>
      </c>
      <c r="K48" s="1">
        <f t="shared" si="3"/>
        <v>0.8903333333</v>
      </c>
      <c r="L48" s="1">
        <f t="shared" si="3"/>
        <v>0.9163333333</v>
      </c>
      <c r="M48" s="1">
        <f t="shared" si="3"/>
        <v>0.8673333333</v>
      </c>
      <c r="N48" s="1">
        <f t="shared" si="3"/>
        <v>0.9263333333</v>
      </c>
    </row>
    <row r="49" ht="12.75" customHeight="1">
      <c r="C49" s="1">
        <f t="shared" ref="C49:N49" si="4">C41-$P$37</f>
        <v>0.8803333333</v>
      </c>
      <c r="D49" s="1">
        <f t="shared" si="4"/>
        <v>0.7823333333</v>
      </c>
      <c r="E49" s="1">
        <f t="shared" si="4"/>
        <v>0.7983333333</v>
      </c>
      <c r="F49" s="1">
        <f t="shared" si="4"/>
        <v>0.9243333333</v>
      </c>
      <c r="G49" s="1">
        <f t="shared" si="4"/>
        <v>1.062333333</v>
      </c>
      <c r="H49" s="1">
        <f t="shared" si="4"/>
        <v>0.9303333333</v>
      </c>
      <c r="I49" s="1">
        <f t="shared" si="4"/>
        <v>0.8163333333</v>
      </c>
      <c r="J49" s="1">
        <f t="shared" si="4"/>
        <v>1.082333333</v>
      </c>
      <c r="K49" s="1">
        <f t="shared" si="4"/>
        <v>0.9593333333</v>
      </c>
      <c r="L49" s="1">
        <f t="shared" si="4"/>
        <v>0.9103333333</v>
      </c>
      <c r="M49" s="1">
        <f t="shared" si="4"/>
        <v>0.9183333333</v>
      </c>
      <c r="N49" s="1">
        <f t="shared" si="4"/>
        <v>0.8973333333</v>
      </c>
    </row>
    <row r="50" ht="12.75" customHeight="1">
      <c r="C50" s="1">
        <f t="shared" ref="C50:N50" si="5">C42-$P$37</f>
        <v>0.8803333333</v>
      </c>
      <c r="D50" s="1">
        <f t="shared" si="5"/>
        <v>0.8583333333</v>
      </c>
      <c r="E50" s="1">
        <f t="shared" si="5"/>
        <v>0.8673333333</v>
      </c>
      <c r="F50" s="1">
        <f t="shared" si="5"/>
        <v>0.2363333333</v>
      </c>
      <c r="G50" s="1">
        <f t="shared" si="5"/>
        <v>0.5973333333</v>
      </c>
      <c r="H50" s="1">
        <f t="shared" si="5"/>
        <v>0.5173333333</v>
      </c>
      <c r="I50" s="1">
        <f t="shared" si="5"/>
        <v>0.2523333333</v>
      </c>
      <c r="J50" s="1">
        <f t="shared" si="5"/>
        <v>0.6343333333</v>
      </c>
      <c r="K50" s="1">
        <f t="shared" si="5"/>
        <v>0.5183333333</v>
      </c>
      <c r="L50" s="1">
        <f t="shared" si="5"/>
        <v>0.2033333333</v>
      </c>
      <c r="M50" s="1">
        <f t="shared" si="5"/>
        <v>0.4683333333</v>
      </c>
      <c r="N50" s="1">
        <f t="shared" si="5"/>
        <v>0.3313333333</v>
      </c>
    </row>
    <row r="51" ht="12.75" customHeight="1">
      <c r="C51" s="1">
        <f t="shared" ref="C51:N51" si="6">C43-$P$37</f>
        <v>0.8513333333</v>
      </c>
      <c r="D51" s="1">
        <f t="shared" si="6"/>
        <v>0.8793333333</v>
      </c>
      <c r="E51" s="1">
        <f t="shared" si="6"/>
        <v>0.8483333333</v>
      </c>
      <c r="F51" s="1">
        <f t="shared" si="6"/>
        <v>0.09833333333</v>
      </c>
      <c r="G51" s="1">
        <f t="shared" si="6"/>
        <v>0.1353333333</v>
      </c>
      <c r="H51" s="1">
        <f t="shared" si="6"/>
        <v>0.1273333333</v>
      </c>
      <c r="I51" s="1">
        <f t="shared" si="6"/>
        <v>0.1093333333</v>
      </c>
      <c r="J51" s="1">
        <f t="shared" si="6"/>
        <v>0.1433333333</v>
      </c>
      <c r="K51" s="1">
        <f t="shared" si="6"/>
        <v>0.1243333333</v>
      </c>
      <c r="L51" s="1">
        <f t="shared" si="6"/>
        <v>0.09333333333</v>
      </c>
      <c r="M51" s="1">
        <f t="shared" si="6"/>
        <v>0.1613333333</v>
      </c>
      <c r="N51" s="1">
        <f t="shared" si="6"/>
        <v>0.09433333333</v>
      </c>
    </row>
    <row r="52" ht="12.75" customHeight="1">
      <c r="C52" s="1">
        <f t="shared" ref="C52:N52" si="7">C44-$P$37</f>
        <v>0.2023333333</v>
      </c>
      <c r="D52" s="1">
        <f t="shared" si="7"/>
        <v>0.2793333333</v>
      </c>
      <c r="E52" s="1">
        <f t="shared" si="7"/>
        <v>0.2003333333</v>
      </c>
      <c r="F52" s="1">
        <f t="shared" si="7"/>
        <v>0.02933333333</v>
      </c>
      <c r="G52" s="1">
        <f t="shared" si="7"/>
        <v>0.05833333333</v>
      </c>
      <c r="H52" s="1">
        <f t="shared" si="7"/>
        <v>0.05433333333</v>
      </c>
      <c r="I52" s="1">
        <f t="shared" si="7"/>
        <v>0.06333333333</v>
      </c>
      <c r="J52" s="1">
        <f t="shared" si="7"/>
        <v>0.05633333333</v>
      </c>
      <c r="K52" s="1">
        <f t="shared" si="7"/>
        <v>0.05533333333</v>
      </c>
      <c r="L52" s="1">
        <f t="shared" si="7"/>
        <v>0.05033333333</v>
      </c>
      <c r="M52" s="1">
        <f t="shared" si="7"/>
        <v>0.06233333333</v>
      </c>
      <c r="N52" s="1">
        <f t="shared" si="7"/>
        <v>0.04233333333</v>
      </c>
    </row>
    <row r="53" ht="12.75" customHeight="1"/>
    <row r="54" ht="12.75" customHeight="1">
      <c r="Q54" s="23" t="s">
        <v>132</v>
      </c>
      <c r="R54" s="23">
        <v>2868.0</v>
      </c>
      <c r="S54" s="23" t="s">
        <v>133</v>
      </c>
      <c r="T54" s="23" t="s">
        <v>134</v>
      </c>
      <c r="U54" s="23">
        <v>2875.0</v>
      </c>
      <c r="V54" s="23" t="s">
        <v>135</v>
      </c>
      <c r="W54" s="23" t="s">
        <v>136</v>
      </c>
      <c r="X54" s="23">
        <v>2876.0</v>
      </c>
      <c r="Y54" s="23" t="s">
        <v>137</v>
      </c>
      <c r="Z54" s="23" t="s">
        <v>134</v>
      </c>
      <c r="AA54" s="23">
        <v>5192.0</v>
      </c>
      <c r="AB54" s="23" t="s">
        <v>135</v>
      </c>
      <c r="AC54" s="23" t="s">
        <v>138</v>
      </c>
    </row>
    <row r="55" ht="12.75" customHeight="1">
      <c r="C55" s="23">
        <v>2868.0</v>
      </c>
      <c r="D55" s="23" t="s">
        <v>133</v>
      </c>
      <c r="E55" s="23" t="s">
        <v>134</v>
      </c>
      <c r="F55" s="23">
        <v>2875.0</v>
      </c>
      <c r="G55" s="23" t="s">
        <v>135</v>
      </c>
      <c r="H55" s="23" t="s">
        <v>136</v>
      </c>
      <c r="I55" s="23">
        <v>2876.0</v>
      </c>
      <c r="J55" s="23" t="s">
        <v>137</v>
      </c>
      <c r="K55" s="23" t="s">
        <v>134</v>
      </c>
      <c r="L55" s="23">
        <v>5192.0</v>
      </c>
      <c r="M55" s="23" t="s">
        <v>135</v>
      </c>
      <c r="N55" s="23" t="s">
        <v>138</v>
      </c>
      <c r="Q55" s="23" t="s">
        <v>139</v>
      </c>
      <c r="R55" s="24">
        <f t="shared" ref="R55:AC55" si="8">average(C56,C65,C74)</f>
        <v>1</v>
      </c>
      <c r="S55" s="24">
        <f t="shared" si="8"/>
        <v>1</v>
      </c>
      <c r="T55" s="24">
        <f t="shared" si="8"/>
        <v>1</v>
      </c>
      <c r="U55" s="24">
        <f t="shared" si="8"/>
        <v>1</v>
      </c>
      <c r="V55" s="24">
        <f t="shared" si="8"/>
        <v>1</v>
      </c>
      <c r="W55" s="24">
        <f t="shared" si="8"/>
        <v>1</v>
      </c>
      <c r="X55" s="24">
        <f t="shared" si="8"/>
        <v>1</v>
      </c>
      <c r="Y55" s="24">
        <f t="shared" si="8"/>
        <v>1</v>
      </c>
      <c r="Z55" s="24">
        <f t="shared" si="8"/>
        <v>1</v>
      </c>
      <c r="AA55" s="24">
        <f t="shared" si="8"/>
        <v>1</v>
      </c>
      <c r="AB55" s="24">
        <f t="shared" si="8"/>
        <v>1</v>
      </c>
      <c r="AC55" s="24">
        <f t="shared" si="8"/>
        <v>1</v>
      </c>
    </row>
    <row r="56" ht="12.75" customHeight="1">
      <c r="C56" s="1">
        <f t="shared" ref="C56:C62" si="10">C46/$C$46</f>
        <v>1</v>
      </c>
      <c r="D56" s="1">
        <f t="shared" ref="D56:D62" si="11">D46/$D$46</f>
        <v>1</v>
      </c>
      <c r="E56" s="1">
        <f t="shared" ref="E56:E62" si="12">E46/$E$46</f>
        <v>1</v>
      </c>
      <c r="F56" s="1">
        <f t="shared" ref="F56:F62" si="13">F46/$F$46</f>
        <v>1</v>
      </c>
      <c r="G56" s="1">
        <f t="shared" ref="G56:G62" si="14">G46/$G$46</f>
        <v>1</v>
      </c>
      <c r="H56" s="1">
        <f t="shared" ref="H56:H62" si="15">H46/$H$46</f>
        <v>1</v>
      </c>
      <c r="I56" s="1">
        <f t="shared" ref="I56:I62" si="16">I46/$I$46</f>
        <v>1</v>
      </c>
      <c r="J56" s="1">
        <f t="shared" ref="J56:J62" si="17">J46/$J$46</f>
        <v>1</v>
      </c>
      <c r="K56" s="1">
        <f t="shared" ref="K56:K62" si="18">K46/$K$46</f>
        <v>1</v>
      </c>
      <c r="L56" s="1">
        <f t="shared" ref="L56:L62" si="19">L46/$L$46</f>
        <v>1</v>
      </c>
      <c r="M56" s="1">
        <f t="shared" ref="M56:M62" si="20">M46/$M$46</f>
        <v>1</v>
      </c>
      <c r="N56" s="1">
        <f t="shared" ref="N56:N62" si="21">N46/$N$46</f>
        <v>1</v>
      </c>
      <c r="Q56" s="23" t="s">
        <v>140</v>
      </c>
      <c r="R56" s="24">
        <f t="shared" ref="R56:AC56" si="9">average(C57,C66,C75)</f>
        <v>0.956439381</v>
      </c>
      <c r="S56" s="24">
        <f t="shared" si="9"/>
        <v>0.9145177736</v>
      </c>
      <c r="T56" s="24">
        <f t="shared" si="9"/>
        <v>0.9290193736</v>
      </c>
      <c r="U56" s="24">
        <f t="shared" si="9"/>
        <v>0.9914895694</v>
      </c>
      <c r="V56" s="24">
        <f t="shared" si="9"/>
        <v>0.8957969355</v>
      </c>
      <c r="W56" s="24">
        <f t="shared" si="9"/>
        <v>0.9659018294</v>
      </c>
      <c r="X56" s="24">
        <f t="shared" si="9"/>
        <v>1.005511141</v>
      </c>
      <c r="Y56" s="24">
        <f t="shared" si="9"/>
        <v>0.9610096838</v>
      </c>
      <c r="Z56" s="24">
        <f t="shared" si="9"/>
        <v>0.9780919042</v>
      </c>
      <c r="AA56" s="24">
        <f t="shared" si="9"/>
        <v>0.9916896398</v>
      </c>
      <c r="AB56" s="24">
        <f t="shared" si="9"/>
        <v>0.9159653924</v>
      </c>
      <c r="AC56" s="24">
        <f t="shared" si="9"/>
        <v>0.9618740556</v>
      </c>
    </row>
    <row r="57" ht="12.75" customHeight="1">
      <c r="C57" s="1">
        <f t="shared" si="10"/>
        <v>0.8248175182</v>
      </c>
      <c r="D57" s="1">
        <f t="shared" si="11"/>
        <v>0.8533154722</v>
      </c>
      <c r="E57" s="1">
        <f t="shared" si="12"/>
        <v>0.8452544704</v>
      </c>
      <c r="F57" s="1">
        <f t="shared" si="13"/>
        <v>1.006576544</v>
      </c>
      <c r="G57" s="1">
        <f t="shared" si="14"/>
        <v>0.7788429752</v>
      </c>
      <c r="H57" s="1">
        <f t="shared" si="15"/>
        <v>0.8525748906</v>
      </c>
      <c r="I57" s="1">
        <f t="shared" si="16"/>
        <v>0.8573228346</v>
      </c>
      <c r="J57" s="1">
        <f t="shared" si="17"/>
        <v>0.8477905074</v>
      </c>
      <c r="K57" s="1">
        <f t="shared" si="18"/>
        <v>0.9028776978</v>
      </c>
      <c r="L57" s="1">
        <f t="shared" si="19"/>
        <v>0.8821666139</v>
      </c>
      <c r="M57" s="1">
        <f t="shared" si="20"/>
        <v>0.7402809539</v>
      </c>
      <c r="N57" s="1">
        <f t="shared" si="21"/>
        <v>0.8665794637</v>
      </c>
      <c r="Q57" s="23" t="s">
        <v>141</v>
      </c>
      <c r="R57" s="24">
        <f t="shared" ref="R57:AC57" si="22">average(C58,C67,C76)</f>
        <v>0.9338897318</v>
      </c>
      <c r="S57" s="24">
        <f t="shared" si="22"/>
        <v>0.9104098889</v>
      </c>
      <c r="T57" s="24">
        <f t="shared" si="22"/>
        <v>0.9280595229</v>
      </c>
      <c r="U57" s="24">
        <f t="shared" si="22"/>
        <v>0.9909450008</v>
      </c>
      <c r="V57" s="24">
        <f t="shared" si="22"/>
        <v>1.006631251</v>
      </c>
      <c r="W57" s="24">
        <f t="shared" si="22"/>
        <v>0.9866827149</v>
      </c>
      <c r="X57" s="24">
        <f t="shared" si="22"/>
        <v>1.034525472</v>
      </c>
      <c r="Y57" s="24">
        <f t="shared" si="22"/>
        <v>1.001537661</v>
      </c>
      <c r="Z57" s="24">
        <f t="shared" si="22"/>
        <v>0.9801365903</v>
      </c>
      <c r="AA57" s="24">
        <f t="shared" si="22"/>
        <v>0.9827915884</v>
      </c>
      <c r="AB57" s="24">
        <f t="shared" si="22"/>
        <v>0.9411964228</v>
      </c>
      <c r="AC57" s="24">
        <f t="shared" si="22"/>
        <v>0.9754063042</v>
      </c>
    </row>
    <row r="58" ht="12.75" customHeight="1">
      <c r="C58" s="1">
        <f t="shared" si="10"/>
        <v>0.8305299905</v>
      </c>
      <c r="D58" s="1">
        <f t="shared" si="11"/>
        <v>0.7900200938</v>
      </c>
      <c r="E58" s="1">
        <f t="shared" si="12"/>
        <v>0.7874828061</v>
      </c>
      <c r="F58" s="1">
        <f t="shared" si="13"/>
        <v>0.9660211911</v>
      </c>
      <c r="G58" s="1">
        <f t="shared" si="14"/>
        <v>1.027768595</v>
      </c>
      <c r="H58" s="1">
        <f t="shared" si="15"/>
        <v>0.9262874453</v>
      </c>
      <c r="I58" s="1">
        <f t="shared" si="16"/>
        <v>0.9442519685</v>
      </c>
      <c r="J58" s="1">
        <f t="shared" si="17"/>
        <v>0.9361702128</v>
      </c>
      <c r="K58" s="1">
        <f t="shared" si="18"/>
        <v>0.8734466972</v>
      </c>
      <c r="L58" s="1">
        <f t="shared" si="19"/>
        <v>0.870763383</v>
      </c>
      <c r="M58" s="1">
        <f t="shared" si="20"/>
        <v>0.8500490036</v>
      </c>
      <c r="N58" s="1">
        <f t="shared" si="21"/>
        <v>0.908763898</v>
      </c>
      <c r="Q58" s="23" t="s">
        <v>142</v>
      </c>
      <c r="R58" s="24">
        <f t="shared" ref="R58:AC58" si="23">average(C59,C68,C77)</f>
        <v>0.9850107474</v>
      </c>
      <c r="S58" s="24">
        <f t="shared" si="23"/>
        <v>0.9620476259</v>
      </c>
      <c r="T58" s="24">
        <f t="shared" si="23"/>
        <v>0.9649288701</v>
      </c>
      <c r="U58" s="24">
        <f t="shared" si="23"/>
        <v>1.001437833</v>
      </c>
      <c r="V58" s="24">
        <f t="shared" si="23"/>
        <v>1.064174017</v>
      </c>
      <c r="W58" s="24">
        <f t="shared" si="23"/>
        <v>1.068243444</v>
      </c>
      <c r="X58" s="24">
        <f t="shared" si="23"/>
        <v>0.8872028399</v>
      </c>
      <c r="Y58" s="24">
        <f t="shared" si="23"/>
        <v>1.103416447</v>
      </c>
      <c r="Z58" s="24">
        <f t="shared" si="23"/>
        <v>1.047547302</v>
      </c>
      <c r="AA58" s="24">
        <f t="shared" si="23"/>
        <v>0.9480027012</v>
      </c>
      <c r="AB58" s="24">
        <f t="shared" si="23"/>
        <v>0.984383704</v>
      </c>
      <c r="AC58" s="24">
        <f t="shared" si="23"/>
        <v>0.9969060073</v>
      </c>
    </row>
    <row r="59" ht="12.75" customHeight="1">
      <c r="C59" s="1">
        <f t="shared" si="10"/>
        <v>0.8381466201</v>
      </c>
      <c r="D59" s="1">
        <f t="shared" si="11"/>
        <v>0.7860013396</v>
      </c>
      <c r="E59" s="1">
        <f t="shared" si="12"/>
        <v>0.8235900963</v>
      </c>
      <c r="F59" s="1">
        <f t="shared" si="13"/>
        <v>1.013153087</v>
      </c>
      <c r="G59" s="1">
        <f t="shared" si="14"/>
        <v>1.053553719</v>
      </c>
      <c r="H59" s="1">
        <f t="shared" si="15"/>
        <v>0.9394143386</v>
      </c>
      <c r="I59" s="1">
        <f t="shared" si="16"/>
        <v>0.7713385827</v>
      </c>
      <c r="J59" s="1">
        <f t="shared" si="17"/>
        <v>1.062847791</v>
      </c>
      <c r="K59" s="1">
        <f t="shared" si="18"/>
        <v>0.9411379987</v>
      </c>
      <c r="L59" s="1">
        <f t="shared" si="19"/>
        <v>0.8650617675</v>
      </c>
      <c r="M59" s="1">
        <f t="shared" si="20"/>
        <v>0.9000326691</v>
      </c>
      <c r="N59" s="1">
        <f t="shared" si="21"/>
        <v>0.8803139307</v>
      </c>
      <c r="Q59" s="23" t="s">
        <v>143</v>
      </c>
      <c r="R59" s="24">
        <f t="shared" ref="R59:AC59" si="24">average(C60,C69,C78)</f>
        <v>0.9263736192</v>
      </c>
      <c r="S59" s="24">
        <f t="shared" si="24"/>
        <v>0.9411486846</v>
      </c>
      <c r="T59" s="24">
        <f t="shared" si="24"/>
        <v>0.9522656928</v>
      </c>
      <c r="U59" s="24">
        <f t="shared" si="24"/>
        <v>0.3194201168</v>
      </c>
      <c r="V59" s="24">
        <f t="shared" si="24"/>
        <v>0.5746081073</v>
      </c>
      <c r="W59" s="24">
        <f t="shared" si="24"/>
        <v>0.5786907407</v>
      </c>
      <c r="X59" s="24">
        <f t="shared" si="24"/>
        <v>0.3130076494</v>
      </c>
      <c r="Y59" s="24">
        <f t="shared" si="24"/>
        <v>0.6140833384</v>
      </c>
      <c r="Z59" s="24">
        <f t="shared" si="24"/>
        <v>0.5662825231</v>
      </c>
      <c r="AA59" s="24">
        <f t="shared" si="24"/>
        <v>0.2220454803</v>
      </c>
      <c r="AB59" s="24">
        <f t="shared" si="24"/>
        <v>0.4181172012</v>
      </c>
      <c r="AC59" s="24">
        <f t="shared" si="24"/>
        <v>0.3707627601</v>
      </c>
    </row>
    <row r="60" ht="12.75" customHeight="1">
      <c r="C60" s="1">
        <f t="shared" si="10"/>
        <v>0.8381466201</v>
      </c>
      <c r="D60" s="1">
        <f t="shared" si="11"/>
        <v>0.8623576691</v>
      </c>
      <c r="E60" s="1">
        <f t="shared" si="12"/>
        <v>0.8947730399</v>
      </c>
      <c r="F60" s="1">
        <f t="shared" si="13"/>
        <v>0.2590427475</v>
      </c>
      <c r="G60" s="1">
        <f t="shared" si="14"/>
        <v>0.5923966942</v>
      </c>
      <c r="H60" s="1">
        <f t="shared" si="15"/>
        <v>0.522383036</v>
      </c>
      <c r="I60" s="1">
        <f t="shared" si="16"/>
        <v>0.2384251969</v>
      </c>
      <c r="J60" s="1">
        <f t="shared" si="17"/>
        <v>0.622913257</v>
      </c>
      <c r="K60" s="1">
        <f t="shared" si="18"/>
        <v>0.5085022891</v>
      </c>
      <c r="L60" s="1">
        <f t="shared" si="19"/>
        <v>0.1932214127</v>
      </c>
      <c r="M60" s="1">
        <f t="shared" si="20"/>
        <v>0.4590003267</v>
      </c>
      <c r="N60" s="1">
        <f t="shared" si="21"/>
        <v>0.3250490517</v>
      </c>
      <c r="Q60" s="23" t="s">
        <v>144</v>
      </c>
      <c r="R60" s="24">
        <f t="shared" ref="R60:AC60" si="25">average(C61,C70,C79)</f>
        <v>0.8686449538</v>
      </c>
      <c r="S60" s="24">
        <f t="shared" si="25"/>
        <v>0.8985954766</v>
      </c>
      <c r="T60" s="24">
        <f t="shared" si="25"/>
        <v>0.9107893697</v>
      </c>
      <c r="U60" s="24">
        <f t="shared" si="25"/>
        <v>0.1234183031</v>
      </c>
      <c r="V60" s="24">
        <f t="shared" si="25"/>
        <v>0.145682178</v>
      </c>
      <c r="W60" s="24">
        <f t="shared" si="25"/>
        <v>0.1506513404</v>
      </c>
      <c r="X60" s="24">
        <f t="shared" si="25"/>
        <v>0.1393015178</v>
      </c>
      <c r="Y60" s="24">
        <f t="shared" si="25"/>
        <v>0.1469261775</v>
      </c>
      <c r="Z60" s="24">
        <f t="shared" si="25"/>
        <v>0.1427553545</v>
      </c>
      <c r="AA60" s="24">
        <f t="shared" si="25"/>
        <v>0.1045473872</v>
      </c>
      <c r="AB60" s="24">
        <f t="shared" si="25"/>
        <v>0.1437752333</v>
      </c>
      <c r="AC60" s="24">
        <f t="shared" si="25"/>
        <v>0.1128802136</v>
      </c>
    </row>
    <row r="61" ht="12.75" customHeight="1">
      <c r="C61" s="1">
        <f t="shared" si="10"/>
        <v>0.8105363377</v>
      </c>
      <c r="D61" s="1">
        <f t="shared" si="11"/>
        <v>0.8834561286</v>
      </c>
      <c r="E61" s="1">
        <f t="shared" si="12"/>
        <v>0.8751719395</v>
      </c>
      <c r="F61" s="1">
        <f t="shared" si="13"/>
        <v>0.1077822433</v>
      </c>
      <c r="G61" s="1">
        <f t="shared" si="14"/>
        <v>0.134214876</v>
      </c>
      <c r="H61" s="1">
        <f t="shared" si="15"/>
        <v>0.128576237</v>
      </c>
      <c r="I61" s="1">
        <f t="shared" si="16"/>
        <v>0.1033070866</v>
      </c>
      <c r="J61" s="1">
        <f t="shared" si="17"/>
        <v>0.1407528642</v>
      </c>
      <c r="K61" s="1">
        <f t="shared" si="18"/>
        <v>0.1219751472</v>
      </c>
      <c r="L61" s="1">
        <f t="shared" si="19"/>
        <v>0.08869179601</v>
      </c>
      <c r="M61" s="1">
        <f t="shared" si="20"/>
        <v>0.158118262</v>
      </c>
      <c r="N61" s="1">
        <f t="shared" si="21"/>
        <v>0.0925441465</v>
      </c>
      <c r="Q61" s="23" t="s">
        <v>145</v>
      </c>
      <c r="R61" s="24">
        <f t="shared" ref="R61:AC61" si="26">average(C62,C71,C80)</f>
        <v>0.2023212893</v>
      </c>
      <c r="S61" s="24">
        <f t="shared" si="26"/>
        <v>0.3017242883</v>
      </c>
      <c r="T61" s="24">
        <f t="shared" si="26"/>
        <v>0.2384000346</v>
      </c>
      <c r="U61" s="24">
        <f t="shared" si="26"/>
        <v>0.03798136484</v>
      </c>
      <c r="V61" s="24">
        <f t="shared" si="26"/>
        <v>0.05877499201</v>
      </c>
      <c r="W61" s="24">
        <f t="shared" si="26"/>
        <v>0.05870603531</v>
      </c>
      <c r="X61" s="24">
        <f t="shared" si="26"/>
        <v>0.07252273942</v>
      </c>
      <c r="Y61" s="24">
        <f t="shared" si="26"/>
        <v>0.06607700731</v>
      </c>
      <c r="Z61" s="24">
        <f t="shared" si="26"/>
        <v>0.06345442656</v>
      </c>
      <c r="AA61" s="24">
        <f t="shared" si="26"/>
        <v>0.05869511246</v>
      </c>
      <c r="AB61" s="24">
        <f t="shared" si="26"/>
        <v>0.06363000117</v>
      </c>
      <c r="AC61" s="24">
        <f t="shared" si="26"/>
        <v>0.04864485031</v>
      </c>
    </row>
    <row r="62" ht="12.75" customHeight="1">
      <c r="C62" s="1">
        <f t="shared" si="10"/>
        <v>0.192637258</v>
      </c>
      <c r="D62" s="1">
        <f t="shared" si="11"/>
        <v>0.2806430007</v>
      </c>
      <c r="E62" s="1">
        <f t="shared" si="12"/>
        <v>0.2066712517</v>
      </c>
      <c r="F62" s="1">
        <f t="shared" si="13"/>
        <v>0.03215199123</v>
      </c>
      <c r="G62" s="1">
        <f t="shared" si="14"/>
        <v>0.05785123967</v>
      </c>
      <c r="H62" s="1">
        <f t="shared" si="15"/>
        <v>0.05486368226</v>
      </c>
      <c r="I62" s="1">
        <f t="shared" si="16"/>
        <v>0.05984251969</v>
      </c>
      <c r="J62" s="1">
        <f t="shared" si="17"/>
        <v>0.05531914894</v>
      </c>
      <c r="K62" s="1">
        <f t="shared" si="18"/>
        <v>0.05428384565</v>
      </c>
      <c r="L62" s="1">
        <f t="shared" si="19"/>
        <v>0.04783021856</v>
      </c>
      <c r="M62" s="1">
        <f t="shared" si="20"/>
        <v>0.06109114668</v>
      </c>
      <c r="N62" s="1">
        <f t="shared" si="21"/>
        <v>0.04153041203</v>
      </c>
    </row>
    <row r="63" ht="12.75" customHeight="1"/>
    <row r="64" ht="12.75" customHeight="1"/>
    <row r="65" ht="12.75" customHeight="1">
      <c r="C65" s="25">
        <v>1.0</v>
      </c>
      <c r="D65" s="25">
        <v>1.0</v>
      </c>
      <c r="E65" s="25">
        <v>1.0</v>
      </c>
      <c r="F65" s="25">
        <v>1.0</v>
      </c>
      <c r="G65" s="25">
        <v>1.0</v>
      </c>
      <c r="H65" s="25">
        <v>1.0</v>
      </c>
      <c r="I65" s="25">
        <v>1.0</v>
      </c>
      <c r="J65" s="25">
        <v>1.0</v>
      </c>
      <c r="K65" s="25">
        <v>1.0</v>
      </c>
      <c r="L65" s="25">
        <v>1.0</v>
      </c>
      <c r="M65" s="25">
        <v>1.0</v>
      </c>
      <c r="N65" s="25">
        <v>1.0</v>
      </c>
    </row>
    <row r="66" ht="12.75" customHeight="1">
      <c r="C66" s="25">
        <v>1.0529197080291972</v>
      </c>
      <c r="D66" s="25">
        <v>0.9030710172744723</v>
      </c>
      <c r="E66" s="25">
        <v>0.9448742746615089</v>
      </c>
      <c r="F66" s="25">
        <v>0.9697560975609758</v>
      </c>
      <c r="G66" s="25">
        <v>0.8847619047619049</v>
      </c>
      <c r="H66" s="25">
        <v>1.00920245398773</v>
      </c>
      <c r="I66" s="25">
        <v>1.0373831775700935</v>
      </c>
      <c r="J66" s="25">
        <v>1.0179640718562875</v>
      </c>
      <c r="K66" s="25">
        <v>0.9921259842519685</v>
      </c>
      <c r="L66" s="25">
        <v>1.0391595033428844</v>
      </c>
      <c r="M66" s="25">
        <v>0.9880073800738008</v>
      </c>
      <c r="N66" s="25">
        <v>0.9534016775396086</v>
      </c>
    </row>
    <row r="67" ht="12.75" customHeight="1">
      <c r="C67" s="25">
        <v>0.9945255474452555</v>
      </c>
      <c r="D67" s="25">
        <v>0.9846449136276394</v>
      </c>
      <c r="E67" s="25">
        <v>0.9864603481624761</v>
      </c>
      <c r="F67" s="25">
        <v>1.0273170731707317</v>
      </c>
      <c r="G67" s="25">
        <v>0.9742857142857143</v>
      </c>
      <c r="H67" s="25">
        <v>0.992842535787321</v>
      </c>
      <c r="I67" s="25">
        <v>1.0242990654205608</v>
      </c>
      <c r="J67" s="25">
        <v>1.0329341317365268</v>
      </c>
      <c r="K67" s="25">
        <v>1.0324803149606299</v>
      </c>
      <c r="L67" s="25">
        <v>1.0257879656160458</v>
      </c>
      <c r="M67" s="25">
        <v>0.9529520295202952</v>
      </c>
      <c r="N67" s="25">
        <v>0.9589934762348555</v>
      </c>
    </row>
    <row r="68" ht="12.75" customHeight="1">
      <c r="C68" s="25">
        <v>1.0018248175182483</v>
      </c>
      <c r="D68" s="25">
        <v>1.0191938579654511</v>
      </c>
      <c r="E68" s="25">
        <v>1.0077369439071566</v>
      </c>
      <c r="F68" s="25">
        <v>1.0107317073170732</v>
      </c>
      <c r="G68" s="25">
        <v>1.019047619047619</v>
      </c>
      <c r="H68" s="25">
        <v>1.118609406952965</v>
      </c>
      <c r="I68" s="25">
        <v>0.8598130841121497</v>
      </c>
      <c r="J68" s="25">
        <v>1.094810379241517</v>
      </c>
      <c r="K68" s="25">
        <v>1.0846456692913384</v>
      </c>
      <c r="L68" s="25">
        <v>0.9875835721107926</v>
      </c>
      <c r="M68" s="25">
        <v>0.981549815498155</v>
      </c>
      <c r="N68" s="25">
        <v>0.983224603914259</v>
      </c>
    </row>
    <row r="69" ht="12.75" customHeight="1">
      <c r="C69" s="25">
        <v>1.0036496350364963</v>
      </c>
      <c r="D69" s="25">
        <v>1.0143953934740884</v>
      </c>
      <c r="E69" s="25">
        <v>1.0193423597678917</v>
      </c>
      <c r="F69" s="25">
        <v>0.4429268292682928</v>
      </c>
      <c r="G69" s="25">
        <v>0.5704761904761906</v>
      </c>
      <c r="H69" s="25">
        <v>0.6298568507157464</v>
      </c>
      <c r="I69" s="25">
        <v>0.28130841121495337</v>
      </c>
      <c r="J69" s="25">
        <v>0.6387225548902196</v>
      </c>
      <c r="K69" s="25">
        <v>0.6328740157480315</v>
      </c>
      <c r="L69" s="25">
        <v>0.2445081184336199</v>
      </c>
      <c r="M69" s="25">
        <v>0.4022140221402215</v>
      </c>
      <c r="N69" s="25">
        <v>0.3718546132339236</v>
      </c>
    </row>
    <row r="70" ht="12.75" customHeight="1">
      <c r="C70" s="25">
        <v>0.9525547445255474</v>
      </c>
      <c r="D70" s="25">
        <v>0.9692898272552785</v>
      </c>
      <c r="E70" s="25">
        <v>0.9564796905222439</v>
      </c>
      <c r="F70" s="25">
        <v>0.1590243902439025</v>
      </c>
      <c r="G70" s="25">
        <v>0.1571428571428572</v>
      </c>
      <c r="H70" s="25">
        <v>0.16768916155419225</v>
      </c>
      <c r="I70" s="25">
        <v>0.13084112149532715</v>
      </c>
      <c r="J70" s="25">
        <v>0.16566866267465075</v>
      </c>
      <c r="K70" s="25">
        <v>0.17027559055118113</v>
      </c>
      <c r="L70" s="25">
        <v>0.12034383954154729</v>
      </c>
      <c r="M70" s="25">
        <v>0.1457564575645757</v>
      </c>
      <c r="N70" s="25">
        <v>0.12301957129543338</v>
      </c>
    </row>
    <row r="71" ht="12.75" customHeight="1">
      <c r="C71" s="25">
        <v>0.2253649635036497</v>
      </c>
      <c r="D71" s="25">
        <v>0.3224568138195778</v>
      </c>
      <c r="E71" s="25">
        <v>0.24854932301740817</v>
      </c>
      <c r="F71" s="25">
        <v>0.057560975609756114</v>
      </c>
      <c r="G71" s="25">
        <v>0.060000000000000026</v>
      </c>
      <c r="H71" s="25">
        <v>0.062372188139059315</v>
      </c>
      <c r="I71" s="25">
        <v>0.06635514018691592</v>
      </c>
      <c r="J71" s="25">
        <v>0.07285429141716569</v>
      </c>
      <c r="K71" s="25">
        <v>0.0738188976377953</v>
      </c>
      <c r="L71" s="25">
        <v>0.0716332378223496</v>
      </c>
      <c r="M71" s="25">
        <v>0.07195571955719558</v>
      </c>
      <c r="N71" s="25">
        <v>0.053122087604846234</v>
      </c>
    </row>
    <row r="72" ht="12.75" customHeight="1"/>
    <row r="73" ht="12.75" customHeight="1"/>
    <row r="74" ht="12.75" customHeight="1">
      <c r="C74" s="1">
        <v>1.0</v>
      </c>
      <c r="D74" s="1">
        <v>1.0</v>
      </c>
      <c r="E74" s="1">
        <v>1.0</v>
      </c>
      <c r="F74" s="1">
        <v>1.0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>
        <v>1.0</v>
      </c>
      <c r="N74" s="1">
        <v>1.0</v>
      </c>
    </row>
    <row r="75" ht="12.75" customHeight="1">
      <c r="C75" s="1">
        <v>0.991580916744621</v>
      </c>
      <c r="D75" s="1">
        <v>0.987166831194472</v>
      </c>
      <c r="E75" s="1">
        <v>0.9969293756397135</v>
      </c>
      <c r="F75" s="1">
        <v>0.9981360671015843</v>
      </c>
      <c r="G75" s="1">
        <v>1.0237859266600595</v>
      </c>
      <c r="H75" s="1">
        <v>1.0359281437125747</v>
      </c>
      <c r="I75" s="1">
        <v>1.1218274111675126</v>
      </c>
      <c r="J75" s="1">
        <v>1.017274472168906</v>
      </c>
      <c r="K75" s="1">
        <v>1.0392720306513412</v>
      </c>
      <c r="L75" s="1">
        <v>1.0537428023032631</v>
      </c>
      <c r="M75" s="1">
        <v>1.0196078431372548</v>
      </c>
      <c r="N75" s="1">
        <v>1.0656410256410256</v>
      </c>
    </row>
    <row r="76" ht="12.75" customHeight="1">
      <c r="C76" s="1">
        <v>0.9766136576239475</v>
      </c>
      <c r="D76" s="1">
        <v>0.9565646594274433</v>
      </c>
      <c r="E76" s="1">
        <v>1.0102354145342887</v>
      </c>
      <c r="F76" s="1">
        <v>0.9794967381174278</v>
      </c>
      <c r="G76" s="1">
        <v>1.0178394449950445</v>
      </c>
      <c r="H76" s="1">
        <v>1.0409181636726546</v>
      </c>
      <c r="I76" s="1">
        <v>1.1350253807106598</v>
      </c>
      <c r="J76" s="1">
        <v>1.0355086372360847</v>
      </c>
      <c r="K76" s="1">
        <v>1.0344827586206897</v>
      </c>
      <c r="L76" s="1">
        <v>1.051823416506718</v>
      </c>
      <c r="M76" s="1">
        <v>1.0205882352941178</v>
      </c>
      <c r="N76" s="1">
        <v>1.0584615384615383</v>
      </c>
    </row>
    <row r="77" ht="12.75" customHeight="1">
      <c r="C77" s="1">
        <v>1.1150608044901777</v>
      </c>
      <c r="D77" s="1">
        <v>1.0809476801579467</v>
      </c>
      <c r="E77" s="1">
        <v>1.0634595701125895</v>
      </c>
      <c r="F77" s="1">
        <v>0.9804287045666354</v>
      </c>
      <c r="G77" s="1">
        <v>1.1199207135777998</v>
      </c>
      <c r="H77" s="1">
        <v>1.146706586826347</v>
      </c>
      <c r="I77" s="1">
        <v>1.030456852791878</v>
      </c>
      <c r="J77" s="1">
        <v>1.152591170825336</v>
      </c>
      <c r="K77" s="1">
        <v>1.1168582375478928</v>
      </c>
      <c r="L77" s="1">
        <v>0.9913627639155471</v>
      </c>
      <c r="M77" s="1">
        <v>1.0715686274509806</v>
      </c>
      <c r="N77" s="1">
        <v>1.1271794871794871</v>
      </c>
    </row>
    <row r="78" ht="12.75" customHeight="1">
      <c r="C78" s="1">
        <v>0.9373246024321796</v>
      </c>
      <c r="D78" s="1">
        <v>0.9466929911154985</v>
      </c>
      <c r="E78" s="1">
        <v>0.9426816786079836</v>
      </c>
      <c r="F78" s="1">
        <v>0.25629077353215285</v>
      </c>
      <c r="G78" s="1">
        <v>0.5609514370664025</v>
      </c>
      <c r="H78" s="1">
        <v>0.5838323353293413</v>
      </c>
      <c r="I78" s="1">
        <v>0.41928934010152286</v>
      </c>
      <c r="J78" s="1">
        <v>0.5806142034548946</v>
      </c>
      <c r="K78" s="1">
        <v>0.5574712643678161</v>
      </c>
      <c r="L78" s="1">
        <v>0.2284069097888676</v>
      </c>
      <c r="M78" s="1">
        <v>0.3931372549019609</v>
      </c>
      <c r="N78" s="1">
        <v>0.4153846153846154</v>
      </c>
    </row>
    <row r="79" ht="12.75" customHeight="1">
      <c r="C79" s="1">
        <v>0.842843779232928</v>
      </c>
      <c r="D79" s="1">
        <v>0.8430404738400791</v>
      </c>
      <c r="E79" s="1">
        <v>0.9007164790174003</v>
      </c>
      <c r="F79" s="1">
        <v>0.10344827586206898</v>
      </c>
      <c r="G79" s="1">
        <v>0.14568880079286425</v>
      </c>
      <c r="H79" s="1">
        <v>0.15568862275449105</v>
      </c>
      <c r="I79" s="1">
        <v>0.18375634517766498</v>
      </c>
      <c r="J79" s="1">
        <v>0.13435700575815743</v>
      </c>
      <c r="K79" s="1">
        <v>0.13601532567049812</v>
      </c>
      <c r="L79" s="1">
        <v>0.10460652591170827</v>
      </c>
      <c r="M79" s="1">
        <v>0.12745098039215688</v>
      </c>
      <c r="N79" s="1">
        <v>0.12307692307692306</v>
      </c>
    </row>
    <row r="80" ht="12.75" customHeight="1">
      <c r="C80" s="1">
        <v>0.1889616463985033</v>
      </c>
      <c r="D80" s="1">
        <v>0.3020730503455084</v>
      </c>
      <c r="E80" s="1">
        <v>0.2599795291709314</v>
      </c>
      <c r="F80" s="1">
        <v>0.024231127679403525</v>
      </c>
      <c r="G80" s="1">
        <v>0.058473736372646176</v>
      </c>
      <c r="H80" s="1">
        <v>0.058882235528942097</v>
      </c>
      <c r="I80" s="1">
        <v>0.0913705583756345</v>
      </c>
      <c r="J80" s="1">
        <v>0.07005758157389635</v>
      </c>
      <c r="K80" s="1">
        <v>0.06226053639846743</v>
      </c>
      <c r="L80" s="1">
        <v>0.05662188099808061</v>
      </c>
      <c r="M80" s="1">
        <v>0.057843137254901957</v>
      </c>
      <c r="N80" s="1">
        <v>0.05128205128205129</v>
      </c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R55:AC61">
    <cfRule type="colorScale" priority="1">
      <colorScale>
        <cfvo type="formula" val="0"/>
        <cfvo type="formula" val="1"/>
        <color rgb="FF000000"/>
        <color rgb="FF4A86E8"/>
      </colorScale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75"/>
    <col customWidth="1" min="3" max="15" width="9.13"/>
    <col customWidth="1" min="16" max="26" width="8.63"/>
  </cols>
  <sheetData>
    <row r="1" ht="12.7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2.75" customHeight="1">
      <c r="A2" s="25" t="s">
        <v>0</v>
      </c>
      <c r="B2" s="25" t="s">
        <v>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2.7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75" customHeight="1">
      <c r="A4" s="25" t="s">
        <v>2</v>
      </c>
      <c r="B4" s="25" t="s">
        <v>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25" t="s">
        <v>4</v>
      </c>
      <c r="B5" s="25" t="s">
        <v>5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25" t="s">
        <v>6</v>
      </c>
      <c r="B6" s="25" t="s">
        <v>146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25" t="s">
        <v>8</v>
      </c>
      <c r="B7" s="2">
        <v>45932.0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25" t="s">
        <v>9</v>
      </c>
      <c r="B8" s="3">
        <v>0.7181481481481482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25" t="s">
        <v>10</v>
      </c>
      <c r="B9" s="25" t="s">
        <v>11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25" t="s">
        <v>12</v>
      </c>
      <c r="B10" s="25">
        <v>1803065.0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25" t="s">
        <v>13</v>
      </c>
      <c r="B11" s="25" t="s">
        <v>14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4" t="s">
        <v>15</v>
      </c>
      <c r="B13" s="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25" t="s">
        <v>16</v>
      </c>
      <c r="B14" s="25" t="s">
        <v>17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25" t="s">
        <v>18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25" t="s">
        <v>19</v>
      </c>
      <c r="B16" s="25" t="s">
        <v>20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25"/>
      <c r="B17" s="25" t="s">
        <v>21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25"/>
      <c r="B18" s="25" t="s">
        <v>22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25"/>
      <c r="B19" s="25" t="s">
        <v>23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4" t="s">
        <v>24</v>
      </c>
      <c r="B21" s="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25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25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25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25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25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25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25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25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25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4" t="s">
        <v>130</v>
      </c>
      <c r="B33" s="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25" t="s">
        <v>131</v>
      </c>
      <c r="B34" s="25">
        <v>28.9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25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25"/>
      <c r="B37" s="7" t="s">
        <v>25</v>
      </c>
      <c r="C37" s="10">
        <v>0.101</v>
      </c>
      <c r="D37" s="10">
        <v>0.094</v>
      </c>
      <c r="E37" s="10">
        <v>0.094</v>
      </c>
      <c r="F37" s="10">
        <v>0.091</v>
      </c>
      <c r="G37" s="10">
        <v>0.097</v>
      </c>
      <c r="H37" s="10">
        <v>0.092</v>
      </c>
      <c r="I37" s="10">
        <v>0.092</v>
      </c>
      <c r="J37" s="10">
        <v>0.101</v>
      </c>
      <c r="K37" s="10">
        <v>0.098</v>
      </c>
      <c r="L37" s="10">
        <v>0.102</v>
      </c>
      <c r="M37" s="10">
        <v>0.099</v>
      </c>
      <c r="N37" s="10">
        <v>0.091</v>
      </c>
      <c r="O37" s="9">
        <v>600.0</v>
      </c>
      <c r="P37" s="25">
        <f>AVERAGE(C37:N37)</f>
        <v>0.096</v>
      </c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25"/>
      <c r="B38" s="7" t="s">
        <v>39</v>
      </c>
      <c r="C38" s="11">
        <v>1.192</v>
      </c>
      <c r="D38" s="12">
        <v>1.138</v>
      </c>
      <c r="E38" s="12">
        <v>1.13</v>
      </c>
      <c r="F38" s="12">
        <v>1.121</v>
      </c>
      <c r="G38" s="12">
        <v>1.146</v>
      </c>
      <c r="H38" s="13">
        <v>1.074</v>
      </c>
      <c r="I38" s="12">
        <v>1.166</v>
      </c>
      <c r="J38" s="12">
        <v>1.098</v>
      </c>
      <c r="K38" s="12">
        <v>1.112</v>
      </c>
      <c r="L38" s="12">
        <v>1.143</v>
      </c>
      <c r="M38" s="11">
        <v>1.18</v>
      </c>
      <c r="N38" s="11">
        <v>1.169</v>
      </c>
      <c r="O38" s="9">
        <v>600.0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25"/>
      <c r="B39" s="7" t="s">
        <v>52</v>
      </c>
      <c r="C39" s="11">
        <v>1.25</v>
      </c>
      <c r="D39" s="13">
        <v>1.037</v>
      </c>
      <c r="E39" s="13">
        <v>1.073</v>
      </c>
      <c r="F39" s="12">
        <v>1.09</v>
      </c>
      <c r="G39" s="13">
        <v>1.025</v>
      </c>
      <c r="H39" s="13">
        <v>1.083</v>
      </c>
      <c r="I39" s="11">
        <v>1.206</v>
      </c>
      <c r="J39" s="12">
        <v>1.116</v>
      </c>
      <c r="K39" s="12">
        <v>1.104</v>
      </c>
      <c r="L39" s="11">
        <v>1.184</v>
      </c>
      <c r="M39" s="12">
        <v>1.167</v>
      </c>
      <c r="N39" s="12">
        <v>1.119</v>
      </c>
      <c r="O39" s="9">
        <v>600.0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25"/>
      <c r="B40" s="7" t="s">
        <v>65</v>
      </c>
      <c r="C40" s="11">
        <v>1.186</v>
      </c>
      <c r="D40" s="12">
        <v>1.122</v>
      </c>
      <c r="E40" s="12">
        <v>1.116</v>
      </c>
      <c r="F40" s="12">
        <v>1.149</v>
      </c>
      <c r="G40" s="12">
        <v>1.119</v>
      </c>
      <c r="H40" s="13">
        <v>1.067</v>
      </c>
      <c r="I40" s="11">
        <v>1.192</v>
      </c>
      <c r="J40" s="12">
        <v>1.131</v>
      </c>
      <c r="K40" s="12">
        <v>1.145</v>
      </c>
      <c r="L40" s="11">
        <v>1.17</v>
      </c>
      <c r="M40" s="12">
        <v>1.129</v>
      </c>
      <c r="N40" s="12">
        <v>1.125</v>
      </c>
      <c r="O40" s="9">
        <v>600.0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25"/>
      <c r="B41" s="7" t="s">
        <v>78</v>
      </c>
      <c r="C41" s="11">
        <v>1.194</v>
      </c>
      <c r="D41" s="12">
        <v>1.158</v>
      </c>
      <c r="E41" s="12">
        <v>1.138</v>
      </c>
      <c r="F41" s="12">
        <v>1.132</v>
      </c>
      <c r="G41" s="12">
        <v>1.166</v>
      </c>
      <c r="H41" s="11">
        <v>1.19</v>
      </c>
      <c r="I41" s="13">
        <v>1.016</v>
      </c>
      <c r="J41" s="11">
        <v>1.193</v>
      </c>
      <c r="K41" s="11">
        <v>1.198</v>
      </c>
      <c r="L41" s="12">
        <v>1.13</v>
      </c>
      <c r="M41" s="12">
        <v>1.16</v>
      </c>
      <c r="N41" s="12">
        <v>1.151</v>
      </c>
      <c r="O41" s="9">
        <v>600.0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25"/>
      <c r="B42" s="7" t="s">
        <v>91</v>
      </c>
      <c r="C42" s="11">
        <v>1.196</v>
      </c>
      <c r="D42" s="12">
        <v>1.153</v>
      </c>
      <c r="E42" s="12">
        <v>1.15</v>
      </c>
      <c r="F42" s="26">
        <v>0.55</v>
      </c>
      <c r="G42" s="17">
        <v>0.695</v>
      </c>
      <c r="H42" s="17">
        <v>0.712</v>
      </c>
      <c r="I42" s="16">
        <v>0.397</v>
      </c>
      <c r="J42" s="17">
        <v>0.736</v>
      </c>
      <c r="K42" s="17">
        <v>0.739</v>
      </c>
      <c r="L42" s="16">
        <v>0.352</v>
      </c>
      <c r="M42" s="26">
        <v>0.532</v>
      </c>
      <c r="N42" s="21">
        <v>0.495</v>
      </c>
      <c r="O42" s="9">
        <v>600.0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25"/>
      <c r="B43" s="7" t="s">
        <v>104</v>
      </c>
      <c r="C43" s="12">
        <v>1.14</v>
      </c>
      <c r="D43" s="12">
        <v>1.106</v>
      </c>
      <c r="E43" s="12">
        <v>1.085</v>
      </c>
      <c r="F43" s="20">
        <v>0.259</v>
      </c>
      <c r="G43" s="20">
        <v>0.261</v>
      </c>
      <c r="H43" s="20">
        <v>0.26</v>
      </c>
      <c r="I43" s="22">
        <v>0.236</v>
      </c>
      <c r="J43" s="20">
        <v>0.262</v>
      </c>
      <c r="K43" s="20">
        <v>0.269</v>
      </c>
      <c r="L43" s="22">
        <v>0.222</v>
      </c>
      <c r="M43" s="22">
        <v>0.254</v>
      </c>
      <c r="N43" s="22">
        <v>0.228</v>
      </c>
      <c r="O43" s="9">
        <v>600.0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75" customHeight="1">
      <c r="A44" s="25"/>
      <c r="B44" s="7" t="s">
        <v>117</v>
      </c>
      <c r="C44" s="16">
        <v>0.343</v>
      </c>
      <c r="D44" s="21">
        <v>0.432</v>
      </c>
      <c r="E44" s="16">
        <v>0.353</v>
      </c>
      <c r="F44" s="10">
        <v>0.155</v>
      </c>
      <c r="G44" s="10">
        <v>0.159</v>
      </c>
      <c r="H44" s="10">
        <v>0.157</v>
      </c>
      <c r="I44" s="10">
        <v>0.167</v>
      </c>
      <c r="J44" s="10">
        <v>0.169</v>
      </c>
      <c r="K44" s="10">
        <v>0.171</v>
      </c>
      <c r="L44" s="10">
        <v>0.171</v>
      </c>
      <c r="M44" s="22">
        <v>0.174</v>
      </c>
      <c r="N44" s="10">
        <v>0.153</v>
      </c>
      <c r="O44" s="9">
        <v>600.0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75" customHeight="1">
      <c r="A46" s="25"/>
      <c r="B46" s="25"/>
      <c r="C46" s="25">
        <f t="shared" ref="C46:N46" si="1">C38-$P$37</f>
        <v>1.096</v>
      </c>
      <c r="D46" s="25">
        <f t="shared" si="1"/>
        <v>1.042</v>
      </c>
      <c r="E46" s="25">
        <f t="shared" si="1"/>
        <v>1.034</v>
      </c>
      <c r="F46" s="25">
        <f t="shared" si="1"/>
        <v>1.025</v>
      </c>
      <c r="G46" s="25">
        <f t="shared" si="1"/>
        <v>1.05</v>
      </c>
      <c r="H46" s="25">
        <f t="shared" si="1"/>
        <v>0.978</v>
      </c>
      <c r="I46" s="25">
        <f t="shared" si="1"/>
        <v>1.07</v>
      </c>
      <c r="J46" s="25">
        <f t="shared" si="1"/>
        <v>1.002</v>
      </c>
      <c r="K46" s="25">
        <f t="shared" si="1"/>
        <v>1.016</v>
      </c>
      <c r="L46" s="25">
        <f t="shared" si="1"/>
        <v>1.047</v>
      </c>
      <c r="M46" s="25">
        <f t="shared" si="1"/>
        <v>1.084</v>
      </c>
      <c r="N46" s="25">
        <f t="shared" si="1"/>
        <v>1.073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75" customHeight="1">
      <c r="A47" s="25"/>
      <c r="B47" s="25"/>
      <c r="C47" s="25">
        <f t="shared" ref="C47:N47" si="2">C39-$P$37</f>
        <v>1.154</v>
      </c>
      <c r="D47" s="25">
        <f t="shared" si="2"/>
        <v>0.941</v>
      </c>
      <c r="E47" s="25">
        <f t="shared" si="2"/>
        <v>0.977</v>
      </c>
      <c r="F47" s="25">
        <f t="shared" si="2"/>
        <v>0.994</v>
      </c>
      <c r="G47" s="25">
        <f t="shared" si="2"/>
        <v>0.929</v>
      </c>
      <c r="H47" s="25">
        <f t="shared" si="2"/>
        <v>0.987</v>
      </c>
      <c r="I47" s="25">
        <f t="shared" si="2"/>
        <v>1.11</v>
      </c>
      <c r="J47" s="25">
        <f t="shared" si="2"/>
        <v>1.02</v>
      </c>
      <c r="K47" s="25">
        <f t="shared" si="2"/>
        <v>1.008</v>
      </c>
      <c r="L47" s="25">
        <f t="shared" si="2"/>
        <v>1.088</v>
      </c>
      <c r="M47" s="25">
        <f t="shared" si="2"/>
        <v>1.071</v>
      </c>
      <c r="N47" s="25">
        <f t="shared" si="2"/>
        <v>1.023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75" customHeight="1">
      <c r="A48" s="25"/>
      <c r="B48" s="25"/>
      <c r="C48" s="25">
        <f t="shared" ref="C48:N48" si="3">C40-$P$37</f>
        <v>1.09</v>
      </c>
      <c r="D48" s="25">
        <f t="shared" si="3"/>
        <v>1.026</v>
      </c>
      <c r="E48" s="25">
        <f t="shared" si="3"/>
        <v>1.02</v>
      </c>
      <c r="F48" s="25">
        <f t="shared" si="3"/>
        <v>1.053</v>
      </c>
      <c r="G48" s="25">
        <f t="shared" si="3"/>
        <v>1.023</v>
      </c>
      <c r="H48" s="25">
        <f t="shared" si="3"/>
        <v>0.971</v>
      </c>
      <c r="I48" s="25">
        <f t="shared" si="3"/>
        <v>1.096</v>
      </c>
      <c r="J48" s="25">
        <f t="shared" si="3"/>
        <v>1.035</v>
      </c>
      <c r="K48" s="25">
        <f t="shared" si="3"/>
        <v>1.049</v>
      </c>
      <c r="L48" s="25">
        <f t="shared" si="3"/>
        <v>1.074</v>
      </c>
      <c r="M48" s="25">
        <f t="shared" si="3"/>
        <v>1.033</v>
      </c>
      <c r="N48" s="25">
        <f t="shared" si="3"/>
        <v>1.029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75" customHeight="1">
      <c r="A49" s="25"/>
      <c r="B49" s="25"/>
      <c r="C49" s="25">
        <f t="shared" ref="C49:N49" si="4">C41-$P$37</f>
        <v>1.098</v>
      </c>
      <c r="D49" s="25">
        <f t="shared" si="4"/>
        <v>1.062</v>
      </c>
      <c r="E49" s="25">
        <f t="shared" si="4"/>
        <v>1.042</v>
      </c>
      <c r="F49" s="25">
        <f t="shared" si="4"/>
        <v>1.036</v>
      </c>
      <c r="G49" s="25">
        <f t="shared" si="4"/>
        <v>1.07</v>
      </c>
      <c r="H49" s="25">
        <f t="shared" si="4"/>
        <v>1.094</v>
      </c>
      <c r="I49" s="25">
        <f t="shared" si="4"/>
        <v>0.92</v>
      </c>
      <c r="J49" s="25">
        <f t="shared" si="4"/>
        <v>1.097</v>
      </c>
      <c r="K49" s="25">
        <f t="shared" si="4"/>
        <v>1.102</v>
      </c>
      <c r="L49" s="25">
        <f t="shared" si="4"/>
        <v>1.034</v>
      </c>
      <c r="M49" s="25">
        <f t="shared" si="4"/>
        <v>1.064</v>
      </c>
      <c r="N49" s="25">
        <f t="shared" si="4"/>
        <v>1.055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75" customHeight="1">
      <c r="A50" s="25"/>
      <c r="B50" s="25"/>
      <c r="C50" s="25">
        <f t="shared" ref="C50:N50" si="5">C42-$P$37</f>
        <v>1.1</v>
      </c>
      <c r="D50" s="25">
        <f t="shared" si="5"/>
        <v>1.057</v>
      </c>
      <c r="E50" s="25">
        <f t="shared" si="5"/>
        <v>1.054</v>
      </c>
      <c r="F50" s="25">
        <f t="shared" si="5"/>
        <v>0.454</v>
      </c>
      <c r="G50" s="25">
        <f t="shared" si="5"/>
        <v>0.599</v>
      </c>
      <c r="H50" s="25">
        <f t="shared" si="5"/>
        <v>0.616</v>
      </c>
      <c r="I50" s="25">
        <f t="shared" si="5"/>
        <v>0.301</v>
      </c>
      <c r="J50" s="25">
        <f t="shared" si="5"/>
        <v>0.64</v>
      </c>
      <c r="K50" s="25">
        <f t="shared" si="5"/>
        <v>0.643</v>
      </c>
      <c r="L50" s="25">
        <f t="shared" si="5"/>
        <v>0.256</v>
      </c>
      <c r="M50" s="25">
        <f t="shared" si="5"/>
        <v>0.436</v>
      </c>
      <c r="N50" s="25">
        <f t="shared" si="5"/>
        <v>0.399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75" customHeight="1">
      <c r="A51" s="25"/>
      <c r="B51" s="25"/>
      <c r="C51" s="25">
        <f t="shared" ref="C51:N51" si="6">C43-$P$37</f>
        <v>1.044</v>
      </c>
      <c r="D51" s="25">
        <f t="shared" si="6"/>
        <v>1.01</v>
      </c>
      <c r="E51" s="25">
        <f t="shared" si="6"/>
        <v>0.989</v>
      </c>
      <c r="F51" s="25">
        <f t="shared" si="6"/>
        <v>0.163</v>
      </c>
      <c r="G51" s="25">
        <f t="shared" si="6"/>
        <v>0.165</v>
      </c>
      <c r="H51" s="25">
        <f t="shared" si="6"/>
        <v>0.164</v>
      </c>
      <c r="I51" s="25">
        <f t="shared" si="6"/>
        <v>0.14</v>
      </c>
      <c r="J51" s="25">
        <f t="shared" si="6"/>
        <v>0.166</v>
      </c>
      <c r="K51" s="25">
        <f t="shared" si="6"/>
        <v>0.173</v>
      </c>
      <c r="L51" s="25">
        <f t="shared" si="6"/>
        <v>0.126</v>
      </c>
      <c r="M51" s="25">
        <f t="shared" si="6"/>
        <v>0.158</v>
      </c>
      <c r="N51" s="25">
        <f t="shared" si="6"/>
        <v>0.132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75" customHeight="1">
      <c r="A52" s="25"/>
      <c r="B52" s="25"/>
      <c r="C52" s="25">
        <f t="shared" ref="C52:N52" si="7">C44-$P$37</f>
        <v>0.247</v>
      </c>
      <c r="D52" s="25">
        <f t="shared" si="7"/>
        <v>0.336</v>
      </c>
      <c r="E52" s="25">
        <f t="shared" si="7"/>
        <v>0.257</v>
      </c>
      <c r="F52" s="25">
        <f t="shared" si="7"/>
        <v>0.059</v>
      </c>
      <c r="G52" s="25">
        <f t="shared" si="7"/>
        <v>0.063</v>
      </c>
      <c r="H52" s="25">
        <f t="shared" si="7"/>
        <v>0.061</v>
      </c>
      <c r="I52" s="25">
        <f t="shared" si="7"/>
        <v>0.071</v>
      </c>
      <c r="J52" s="25">
        <f t="shared" si="7"/>
        <v>0.073</v>
      </c>
      <c r="K52" s="25">
        <f t="shared" si="7"/>
        <v>0.075</v>
      </c>
      <c r="L52" s="25">
        <f t="shared" si="7"/>
        <v>0.075</v>
      </c>
      <c r="M52" s="25">
        <f t="shared" si="7"/>
        <v>0.078</v>
      </c>
      <c r="N52" s="25">
        <f t="shared" si="7"/>
        <v>0.057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75" customHeight="1">
      <c r="A54" s="25"/>
      <c r="B54" s="25"/>
      <c r="C54" s="25">
        <f t="shared" ref="C54:C60" si="8">C46/$C$46</f>
        <v>1</v>
      </c>
      <c r="D54" s="25">
        <f t="shared" ref="D54:D60" si="9">D46/$D$46</f>
        <v>1</v>
      </c>
      <c r="E54" s="25">
        <f t="shared" ref="E54:E60" si="10">E46/$E$46</f>
        <v>1</v>
      </c>
      <c r="F54" s="25">
        <f t="shared" ref="F54:F60" si="11">F46/$F$46</f>
        <v>1</v>
      </c>
      <c r="G54" s="25">
        <f t="shared" ref="G54:G60" si="12">G46/$G$46</f>
        <v>1</v>
      </c>
      <c r="H54" s="25">
        <f t="shared" ref="H54:H60" si="13">H46/$H$46</f>
        <v>1</v>
      </c>
      <c r="I54" s="25">
        <f t="shared" ref="I54:I60" si="14">I46/$I$46</f>
        <v>1</v>
      </c>
      <c r="J54" s="25">
        <f t="shared" ref="J54:J60" si="15">J46/$J$46</f>
        <v>1</v>
      </c>
      <c r="K54" s="25">
        <f t="shared" ref="K54:K60" si="16">K46/$K$46</f>
        <v>1</v>
      </c>
      <c r="L54" s="25">
        <f t="shared" ref="L54:L60" si="17">L46/$L$46</f>
        <v>1</v>
      </c>
      <c r="M54" s="25">
        <f t="shared" ref="M54:M60" si="18">M46/$M$46</f>
        <v>1</v>
      </c>
      <c r="N54" s="25">
        <f t="shared" ref="N54:N60" si="19">N46/$N$46</f>
        <v>1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75" customHeight="1">
      <c r="A55" s="25"/>
      <c r="B55" s="25"/>
      <c r="C55" s="25">
        <f t="shared" si="8"/>
        <v>1.052919708</v>
      </c>
      <c r="D55" s="25">
        <f t="shared" si="9"/>
        <v>0.9030710173</v>
      </c>
      <c r="E55" s="25">
        <f t="shared" si="10"/>
        <v>0.9448742747</v>
      </c>
      <c r="F55" s="25">
        <f t="shared" si="11"/>
        <v>0.9697560976</v>
      </c>
      <c r="G55" s="25">
        <f t="shared" si="12"/>
        <v>0.8847619048</v>
      </c>
      <c r="H55" s="25">
        <f t="shared" si="13"/>
        <v>1.009202454</v>
      </c>
      <c r="I55" s="25">
        <f t="shared" si="14"/>
        <v>1.037383178</v>
      </c>
      <c r="J55" s="25">
        <f t="shared" si="15"/>
        <v>1.017964072</v>
      </c>
      <c r="K55" s="25">
        <f t="shared" si="16"/>
        <v>0.9921259843</v>
      </c>
      <c r="L55" s="25">
        <f t="shared" si="17"/>
        <v>1.039159503</v>
      </c>
      <c r="M55" s="25">
        <f t="shared" si="18"/>
        <v>0.9880073801</v>
      </c>
      <c r="N55" s="25">
        <f t="shared" si="19"/>
        <v>0.9534016775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75" customHeight="1">
      <c r="A56" s="25"/>
      <c r="B56" s="25"/>
      <c r="C56" s="25">
        <f t="shared" si="8"/>
        <v>0.9945255474</v>
      </c>
      <c r="D56" s="25">
        <f t="shared" si="9"/>
        <v>0.9846449136</v>
      </c>
      <c r="E56" s="25">
        <f t="shared" si="10"/>
        <v>0.9864603482</v>
      </c>
      <c r="F56" s="25">
        <f t="shared" si="11"/>
        <v>1.027317073</v>
      </c>
      <c r="G56" s="25">
        <f t="shared" si="12"/>
        <v>0.9742857143</v>
      </c>
      <c r="H56" s="25">
        <f t="shared" si="13"/>
        <v>0.9928425358</v>
      </c>
      <c r="I56" s="25">
        <f t="shared" si="14"/>
        <v>1.024299065</v>
      </c>
      <c r="J56" s="25">
        <f t="shared" si="15"/>
        <v>1.032934132</v>
      </c>
      <c r="K56" s="25">
        <f t="shared" si="16"/>
        <v>1.032480315</v>
      </c>
      <c r="L56" s="25">
        <f t="shared" si="17"/>
        <v>1.025787966</v>
      </c>
      <c r="M56" s="25">
        <f t="shared" si="18"/>
        <v>0.9529520295</v>
      </c>
      <c r="N56" s="25">
        <f t="shared" si="19"/>
        <v>0.9589934762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75" customHeight="1">
      <c r="A57" s="25"/>
      <c r="B57" s="25"/>
      <c r="C57" s="25">
        <f t="shared" si="8"/>
        <v>1.001824818</v>
      </c>
      <c r="D57" s="25">
        <f t="shared" si="9"/>
        <v>1.019193858</v>
      </c>
      <c r="E57" s="25">
        <f t="shared" si="10"/>
        <v>1.007736944</v>
      </c>
      <c r="F57" s="25">
        <f t="shared" si="11"/>
        <v>1.010731707</v>
      </c>
      <c r="G57" s="25">
        <f t="shared" si="12"/>
        <v>1.019047619</v>
      </c>
      <c r="H57" s="25">
        <f t="shared" si="13"/>
        <v>1.118609407</v>
      </c>
      <c r="I57" s="25">
        <f t="shared" si="14"/>
        <v>0.8598130841</v>
      </c>
      <c r="J57" s="25">
        <f t="shared" si="15"/>
        <v>1.094810379</v>
      </c>
      <c r="K57" s="25">
        <f t="shared" si="16"/>
        <v>1.084645669</v>
      </c>
      <c r="L57" s="25">
        <f t="shared" si="17"/>
        <v>0.9875835721</v>
      </c>
      <c r="M57" s="25">
        <f t="shared" si="18"/>
        <v>0.9815498155</v>
      </c>
      <c r="N57" s="25">
        <f t="shared" si="19"/>
        <v>0.9832246039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75" customHeight="1">
      <c r="A58" s="25"/>
      <c r="B58" s="25"/>
      <c r="C58" s="25">
        <f t="shared" si="8"/>
        <v>1.003649635</v>
      </c>
      <c r="D58" s="25">
        <f t="shared" si="9"/>
        <v>1.014395393</v>
      </c>
      <c r="E58" s="25">
        <f t="shared" si="10"/>
        <v>1.01934236</v>
      </c>
      <c r="F58" s="25">
        <f t="shared" si="11"/>
        <v>0.4429268293</v>
      </c>
      <c r="G58" s="25">
        <f t="shared" si="12"/>
        <v>0.5704761905</v>
      </c>
      <c r="H58" s="25">
        <f t="shared" si="13"/>
        <v>0.6298568507</v>
      </c>
      <c r="I58" s="25">
        <f t="shared" si="14"/>
        <v>0.2813084112</v>
      </c>
      <c r="J58" s="25">
        <f t="shared" si="15"/>
        <v>0.6387225549</v>
      </c>
      <c r="K58" s="25">
        <f t="shared" si="16"/>
        <v>0.6328740157</v>
      </c>
      <c r="L58" s="25">
        <f t="shared" si="17"/>
        <v>0.2445081184</v>
      </c>
      <c r="M58" s="25">
        <f t="shared" si="18"/>
        <v>0.4022140221</v>
      </c>
      <c r="N58" s="25">
        <f t="shared" si="19"/>
        <v>0.3718546132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75" customHeight="1">
      <c r="A59" s="25"/>
      <c r="B59" s="25"/>
      <c r="C59" s="25">
        <f t="shared" si="8"/>
        <v>0.9525547445</v>
      </c>
      <c r="D59" s="25">
        <f t="shared" si="9"/>
        <v>0.9692898273</v>
      </c>
      <c r="E59" s="25">
        <f t="shared" si="10"/>
        <v>0.9564796905</v>
      </c>
      <c r="F59" s="25">
        <f t="shared" si="11"/>
        <v>0.1590243902</v>
      </c>
      <c r="G59" s="25">
        <f t="shared" si="12"/>
        <v>0.1571428571</v>
      </c>
      <c r="H59" s="25">
        <f t="shared" si="13"/>
        <v>0.1676891616</v>
      </c>
      <c r="I59" s="25">
        <f t="shared" si="14"/>
        <v>0.1308411215</v>
      </c>
      <c r="J59" s="25">
        <f t="shared" si="15"/>
        <v>0.1656686627</v>
      </c>
      <c r="K59" s="25">
        <f t="shared" si="16"/>
        <v>0.1702755906</v>
      </c>
      <c r="L59" s="25">
        <f t="shared" si="17"/>
        <v>0.1203438395</v>
      </c>
      <c r="M59" s="25">
        <f t="shared" si="18"/>
        <v>0.1457564576</v>
      </c>
      <c r="N59" s="25">
        <f t="shared" si="19"/>
        <v>0.1230195713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75" customHeight="1">
      <c r="A60" s="25"/>
      <c r="B60" s="25"/>
      <c r="C60" s="25">
        <f t="shared" si="8"/>
        <v>0.2253649635</v>
      </c>
      <c r="D60" s="25">
        <f t="shared" si="9"/>
        <v>0.3224568138</v>
      </c>
      <c r="E60" s="25">
        <f t="shared" si="10"/>
        <v>0.248549323</v>
      </c>
      <c r="F60" s="25">
        <f t="shared" si="11"/>
        <v>0.05756097561</v>
      </c>
      <c r="G60" s="25">
        <f t="shared" si="12"/>
        <v>0.06</v>
      </c>
      <c r="H60" s="25">
        <f t="shared" si="13"/>
        <v>0.06237218814</v>
      </c>
      <c r="I60" s="25">
        <f t="shared" si="14"/>
        <v>0.06635514019</v>
      </c>
      <c r="J60" s="25">
        <f t="shared" si="15"/>
        <v>0.07285429142</v>
      </c>
      <c r="K60" s="25">
        <f t="shared" si="16"/>
        <v>0.07381889764</v>
      </c>
      <c r="L60" s="25">
        <f t="shared" si="17"/>
        <v>0.07163323782</v>
      </c>
      <c r="M60" s="25">
        <f t="shared" si="18"/>
        <v>0.07195571956</v>
      </c>
      <c r="N60" s="25">
        <f t="shared" si="19"/>
        <v>0.0531220876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75"/>
    <col customWidth="1" min="3" max="15" width="9.13"/>
    <col customWidth="1" min="16" max="26" width="8.63"/>
  </cols>
  <sheetData>
    <row r="1" ht="12.7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2.75" customHeight="1">
      <c r="A2" s="25" t="s">
        <v>0</v>
      </c>
      <c r="B2" s="25" t="s">
        <v>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2.7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75" customHeight="1">
      <c r="A4" s="25" t="s">
        <v>2</v>
      </c>
      <c r="B4" s="25" t="s">
        <v>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25" t="s">
        <v>4</v>
      </c>
      <c r="B5" s="25" t="s">
        <v>5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25" t="s">
        <v>6</v>
      </c>
      <c r="B6" s="25" t="s">
        <v>147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25" t="s">
        <v>8</v>
      </c>
      <c r="B7" s="2">
        <v>45932.0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25" t="s">
        <v>9</v>
      </c>
      <c r="B8" s="3">
        <v>0.7191203703703705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25" t="s">
        <v>10</v>
      </c>
      <c r="B9" s="25" t="s">
        <v>11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25" t="s">
        <v>12</v>
      </c>
      <c r="B10" s="25">
        <v>1803065.0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25" t="s">
        <v>13</v>
      </c>
      <c r="B11" s="25" t="s">
        <v>14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4" t="s">
        <v>15</v>
      </c>
      <c r="B13" s="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25" t="s">
        <v>16</v>
      </c>
      <c r="B14" s="25" t="s">
        <v>17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25" t="s">
        <v>18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25" t="s">
        <v>19</v>
      </c>
      <c r="B16" s="25" t="s">
        <v>20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25"/>
      <c r="B17" s="25" t="s">
        <v>21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25"/>
      <c r="B18" s="25" t="s">
        <v>22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25"/>
      <c r="B19" s="25" t="s">
        <v>23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4" t="s">
        <v>24</v>
      </c>
      <c r="B21" s="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25"/>
      <c r="B23" s="6"/>
      <c r="C23" s="7">
        <v>1.0</v>
      </c>
      <c r="D23" s="7">
        <v>2.0</v>
      </c>
      <c r="E23" s="7">
        <v>3.0</v>
      </c>
      <c r="F23" s="7">
        <v>4.0</v>
      </c>
      <c r="G23" s="7">
        <v>5.0</v>
      </c>
      <c r="H23" s="7">
        <v>6.0</v>
      </c>
      <c r="I23" s="7">
        <v>7.0</v>
      </c>
      <c r="J23" s="7">
        <v>8.0</v>
      </c>
      <c r="K23" s="7">
        <v>9.0</v>
      </c>
      <c r="L23" s="7">
        <v>10.0</v>
      </c>
      <c r="M23" s="7">
        <v>11.0</v>
      </c>
      <c r="N23" s="7">
        <v>12.0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25"/>
      <c r="B24" s="7" t="s">
        <v>25</v>
      </c>
      <c r="C24" s="8" t="s">
        <v>26</v>
      </c>
      <c r="D24" s="8" t="s">
        <v>27</v>
      </c>
      <c r="E24" s="8" t="s">
        <v>28</v>
      </c>
      <c r="F24" s="8" t="s">
        <v>29</v>
      </c>
      <c r="G24" s="8" t="s">
        <v>30</v>
      </c>
      <c r="H24" s="8" t="s">
        <v>31</v>
      </c>
      <c r="I24" s="8" t="s">
        <v>32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37</v>
      </c>
      <c r="O24" s="9" t="s">
        <v>38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25"/>
      <c r="B25" s="7" t="s">
        <v>39</v>
      </c>
      <c r="C25" s="8" t="s">
        <v>40</v>
      </c>
      <c r="D25" s="8" t="s">
        <v>41</v>
      </c>
      <c r="E25" s="8" t="s">
        <v>42</v>
      </c>
      <c r="F25" s="8" t="s">
        <v>43</v>
      </c>
      <c r="G25" s="8" t="s">
        <v>44</v>
      </c>
      <c r="H25" s="8" t="s">
        <v>45</v>
      </c>
      <c r="I25" s="8" t="s">
        <v>46</v>
      </c>
      <c r="J25" s="8" t="s">
        <v>47</v>
      </c>
      <c r="K25" s="8" t="s">
        <v>48</v>
      </c>
      <c r="L25" s="8" t="s">
        <v>49</v>
      </c>
      <c r="M25" s="8" t="s">
        <v>50</v>
      </c>
      <c r="N25" s="8" t="s">
        <v>51</v>
      </c>
      <c r="O25" s="9" t="s">
        <v>38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25"/>
      <c r="B26" s="7" t="s">
        <v>52</v>
      </c>
      <c r="C26" s="8" t="s">
        <v>53</v>
      </c>
      <c r="D26" s="8" t="s">
        <v>54</v>
      </c>
      <c r="E26" s="8" t="s">
        <v>55</v>
      </c>
      <c r="F26" s="8" t="s">
        <v>56</v>
      </c>
      <c r="G26" s="8" t="s">
        <v>57</v>
      </c>
      <c r="H26" s="8" t="s">
        <v>58</v>
      </c>
      <c r="I26" s="8" t="s">
        <v>59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64</v>
      </c>
      <c r="O26" s="9" t="s">
        <v>38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25"/>
      <c r="B27" s="7" t="s">
        <v>65</v>
      </c>
      <c r="C27" s="8" t="s">
        <v>66</v>
      </c>
      <c r="D27" s="8" t="s">
        <v>67</v>
      </c>
      <c r="E27" s="8" t="s">
        <v>68</v>
      </c>
      <c r="F27" s="8" t="s">
        <v>69</v>
      </c>
      <c r="G27" s="8" t="s">
        <v>70</v>
      </c>
      <c r="H27" s="8" t="s">
        <v>71</v>
      </c>
      <c r="I27" s="8" t="s">
        <v>72</v>
      </c>
      <c r="J27" s="8" t="s">
        <v>73</v>
      </c>
      <c r="K27" s="8" t="s">
        <v>74</v>
      </c>
      <c r="L27" s="8" t="s">
        <v>75</v>
      </c>
      <c r="M27" s="8" t="s">
        <v>76</v>
      </c>
      <c r="N27" s="8" t="s">
        <v>77</v>
      </c>
      <c r="O27" s="9" t="s">
        <v>38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25"/>
      <c r="B28" s="7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9" t="s">
        <v>38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25"/>
      <c r="B29" s="7" t="s">
        <v>91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  <c r="H29" s="8" t="s">
        <v>97</v>
      </c>
      <c r="I29" s="8" t="s">
        <v>98</v>
      </c>
      <c r="J29" s="8" t="s">
        <v>99</v>
      </c>
      <c r="K29" s="8" t="s">
        <v>100</v>
      </c>
      <c r="L29" s="8" t="s">
        <v>101</v>
      </c>
      <c r="M29" s="8" t="s">
        <v>102</v>
      </c>
      <c r="N29" s="8" t="s">
        <v>103</v>
      </c>
      <c r="O29" s="9" t="s">
        <v>38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25"/>
      <c r="B30" s="7" t="s">
        <v>104</v>
      </c>
      <c r="C30" s="8" t="s">
        <v>105</v>
      </c>
      <c r="D30" s="8" t="s">
        <v>106</v>
      </c>
      <c r="E30" s="8" t="s">
        <v>107</v>
      </c>
      <c r="F30" s="8" t="s">
        <v>108</v>
      </c>
      <c r="G30" s="8" t="s">
        <v>109</v>
      </c>
      <c r="H30" s="8" t="s">
        <v>110</v>
      </c>
      <c r="I30" s="8" t="s">
        <v>111</v>
      </c>
      <c r="J30" s="8" t="s">
        <v>112</v>
      </c>
      <c r="K30" s="8" t="s">
        <v>113</v>
      </c>
      <c r="L30" s="8" t="s">
        <v>114</v>
      </c>
      <c r="M30" s="8" t="s">
        <v>115</v>
      </c>
      <c r="N30" s="8" t="s">
        <v>116</v>
      </c>
      <c r="O30" s="9" t="s">
        <v>38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25"/>
      <c r="B31" s="7" t="s">
        <v>117</v>
      </c>
      <c r="C31" s="8" t="s">
        <v>118</v>
      </c>
      <c r="D31" s="8" t="s">
        <v>119</v>
      </c>
      <c r="E31" s="8" t="s">
        <v>120</v>
      </c>
      <c r="F31" s="8" t="s">
        <v>121</v>
      </c>
      <c r="G31" s="8" t="s">
        <v>122</v>
      </c>
      <c r="H31" s="8" t="s">
        <v>123</v>
      </c>
      <c r="I31" s="8" t="s">
        <v>124</v>
      </c>
      <c r="J31" s="8" t="s">
        <v>125</v>
      </c>
      <c r="K31" s="8" t="s">
        <v>126</v>
      </c>
      <c r="L31" s="8" t="s">
        <v>127</v>
      </c>
      <c r="M31" s="8" t="s">
        <v>128</v>
      </c>
      <c r="N31" s="8" t="s">
        <v>129</v>
      </c>
      <c r="O31" s="9" t="s">
        <v>38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4" t="s">
        <v>130</v>
      </c>
      <c r="B33" s="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25" t="s">
        <v>131</v>
      </c>
      <c r="B34" s="25">
        <v>28.6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25"/>
      <c r="B36" s="6"/>
      <c r="C36" s="7">
        <v>1.0</v>
      </c>
      <c r="D36" s="7">
        <v>2.0</v>
      </c>
      <c r="E36" s="7">
        <v>3.0</v>
      </c>
      <c r="F36" s="7">
        <v>4.0</v>
      </c>
      <c r="G36" s="7">
        <v>5.0</v>
      </c>
      <c r="H36" s="7">
        <v>6.0</v>
      </c>
      <c r="I36" s="7">
        <v>7.0</v>
      </c>
      <c r="J36" s="7">
        <v>8.0</v>
      </c>
      <c r="K36" s="7">
        <v>9.0</v>
      </c>
      <c r="L36" s="7">
        <v>10.0</v>
      </c>
      <c r="M36" s="7">
        <v>11.0</v>
      </c>
      <c r="N36" s="7">
        <v>12.0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25"/>
      <c r="B37" s="7" t="s">
        <v>25</v>
      </c>
      <c r="C37" s="10">
        <v>0.117</v>
      </c>
      <c r="D37" s="10">
        <v>0.121</v>
      </c>
      <c r="E37" s="10">
        <v>0.118</v>
      </c>
      <c r="F37" s="10">
        <v>0.121</v>
      </c>
      <c r="G37" s="10">
        <v>0.119</v>
      </c>
      <c r="H37" s="10">
        <v>0.121</v>
      </c>
      <c r="I37" s="10">
        <v>0.117</v>
      </c>
      <c r="J37" s="10">
        <v>0.115</v>
      </c>
      <c r="K37" s="10">
        <v>0.119</v>
      </c>
      <c r="L37" s="10">
        <v>0.123</v>
      </c>
      <c r="M37" s="10">
        <v>0.11</v>
      </c>
      <c r="N37" s="10">
        <v>0.091</v>
      </c>
      <c r="O37" s="9">
        <v>600.0</v>
      </c>
      <c r="P37" s="25">
        <f>AVERAGE(C37:N37)</f>
        <v>0.116</v>
      </c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25"/>
      <c r="B38" s="7" t="s">
        <v>39</v>
      </c>
      <c r="C38" s="12">
        <v>1.185</v>
      </c>
      <c r="D38" s="13">
        <v>1.129</v>
      </c>
      <c r="E38" s="13">
        <v>1.093</v>
      </c>
      <c r="F38" s="12">
        <v>1.189</v>
      </c>
      <c r="G38" s="13">
        <v>1.125</v>
      </c>
      <c r="H38" s="13">
        <v>1.118</v>
      </c>
      <c r="I38" s="13">
        <v>1.101</v>
      </c>
      <c r="J38" s="12">
        <v>1.158</v>
      </c>
      <c r="K38" s="12">
        <v>1.16</v>
      </c>
      <c r="L38" s="12">
        <v>1.158</v>
      </c>
      <c r="M38" s="13">
        <v>1.136</v>
      </c>
      <c r="N38" s="13">
        <v>1.091</v>
      </c>
      <c r="O38" s="9">
        <v>600.0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25"/>
      <c r="B39" s="7" t="s">
        <v>52</v>
      </c>
      <c r="C39" s="12">
        <v>1.176</v>
      </c>
      <c r="D39" s="13">
        <v>1.116</v>
      </c>
      <c r="E39" s="13">
        <v>1.09</v>
      </c>
      <c r="F39" s="12">
        <v>1.187</v>
      </c>
      <c r="G39" s="12">
        <v>1.149</v>
      </c>
      <c r="H39" s="12">
        <v>1.154</v>
      </c>
      <c r="I39" s="12">
        <v>1.221</v>
      </c>
      <c r="J39" s="12">
        <v>1.176</v>
      </c>
      <c r="K39" s="12">
        <v>1.201</v>
      </c>
      <c r="L39" s="12">
        <v>1.214</v>
      </c>
      <c r="M39" s="12">
        <v>1.156</v>
      </c>
      <c r="N39" s="12">
        <v>1.155</v>
      </c>
      <c r="O39" s="9">
        <v>600.0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25"/>
      <c r="B40" s="7" t="s">
        <v>65</v>
      </c>
      <c r="C40" s="12">
        <v>1.16</v>
      </c>
      <c r="D40" s="13">
        <v>1.085</v>
      </c>
      <c r="E40" s="13">
        <v>1.103</v>
      </c>
      <c r="F40" s="12">
        <v>1.167</v>
      </c>
      <c r="G40" s="12">
        <v>1.143</v>
      </c>
      <c r="H40" s="12">
        <v>1.159</v>
      </c>
      <c r="I40" s="11">
        <v>1.234</v>
      </c>
      <c r="J40" s="12">
        <v>1.195</v>
      </c>
      <c r="K40" s="12">
        <v>1.196</v>
      </c>
      <c r="L40" s="12">
        <v>1.212</v>
      </c>
      <c r="M40" s="12">
        <v>1.157</v>
      </c>
      <c r="N40" s="12">
        <v>1.148</v>
      </c>
      <c r="O40" s="9">
        <v>600.0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25"/>
      <c r="B41" s="7" t="s">
        <v>78</v>
      </c>
      <c r="C41" s="11">
        <v>1.308</v>
      </c>
      <c r="D41" s="12">
        <v>1.211</v>
      </c>
      <c r="E41" s="12">
        <v>1.155</v>
      </c>
      <c r="F41" s="12">
        <v>1.168</v>
      </c>
      <c r="G41" s="11">
        <v>1.246</v>
      </c>
      <c r="H41" s="11">
        <v>1.265</v>
      </c>
      <c r="I41" s="13">
        <v>1.131</v>
      </c>
      <c r="J41" s="11">
        <v>1.317</v>
      </c>
      <c r="K41" s="11">
        <v>1.282</v>
      </c>
      <c r="L41" s="12">
        <v>1.149</v>
      </c>
      <c r="M41" s="12">
        <v>1.209</v>
      </c>
      <c r="N41" s="12">
        <v>1.215</v>
      </c>
      <c r="O41" s="9">
        <v>600.0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25"/>
      <c r="B42" s="7" t="s">
        <v>91</v>
      </c>
      <c r="C42" s="13">
        <v>1.118</v>
      </c>
      <c r="D42" s="13">
        <v>1.075</v>
      </c>
      <c r="E42" s="14">
        <v>1.037</v>
      </c>
      <c r="F42" s="16">
        <v>0.391</v>
      </c>
      <c r="G42" s="18">
        <v>0.682</v>
      </c>
      <c r="H42" s="18">
        <v>0.701</v>
      </c>
      <c r="I42" s="21">
        <v>0.529</v>
      </c>
      <c r="J42" s="17">
        <v>0.721</v>
      </c>
      <c r="K42" s="18">
        <v>0.698</v>
      </c>
      <c r="L42" s="20">
        <v>0.354</v>
      </c>
      <c r="M42" s="21">
        <v>0.517</v>
      </c>
      <c r="N42" s="21">
        <v>0.521</v>
      </c>
      <c r="O42" s="9">
        <v>600.0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25"/>
      <c r="B43" s="7" t="s">
        <v>104</v>
      </c>
      <c r="C43" s="14">
        <v>1.017</v>
      </c>
      <c r="D43" s="14">
        <v>0.97</v>
      </c>
      <c r="E43" s="14">
        <v>0.996</v>
      </c>
      <c r="F43" s="22">
        <v>0.227</v>
      </c>
      <c r="G43" s="22">
        <v>0.263</v>
      </c>
      <c r="H43" s="20">
        <v>0.272</v>
      </c>
      <c r="I43" s="20">
        <v>0.297</v>
      </c>
      <c r="J43" s="22">
        <v>0.256</v>
      </c>
      <c r="K43" s="22">
        <v>0.258</v>
      </c>
      <c r="L43" s="22">
        <v>0.225</v>
      </c>
      <c r="M43" s="22">
        <v>0.246</v>
      </c>
      <c r="N43" s="22">
        <v>0.236</v>
      </c>
      <c r="O43" s="9">
        <v>600.0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75" customHeight="1">
      <c r="A44" s="25"/>
      <c r="B44" s="7" t="s">
        <v>117</v>
      </c>
      <c r="C44" s="20">
        <v>0.318</v>
      </c>
      <c r="D44" s="16">
        <v>0.422</v>
      </c>
      <c r="E44" s="16">
        <v>0.37</v>
      </c>
      <c r="F44" s="10">
        <v>0.142</v>
      </c>
      <c r="G44" s="10">
        <v>0.175</v>
      </c>
      <c r="H44" s="10">
        <v>0.175</v>
      </c>
      <c r="I44" s="22">
        <v>0.206</v>
      </c>
      <c r="J44" s="22">
        <v>0.189</v>
      </c>
      <c r="K44" s="22">
        <v>0.181</v>
      </c>
      <c r="L44" s="10">
        <v>0.175</v>
      </c>
      <c r="M44" s="10">
        <v>0.175</v>
      </c>
      <c r="N44" s="10">
        <v>0.166</v>
      </c>
      <c r="O44" s="9">
        <v>600.0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75" customHeight="1">
      <c r="A46" s="25"/>
      <c r="B46" s="25"/>
      <c r="C46" s="25">
        <f t="shared" ref="C46:N46" si="1">C38-$P$37</f>
        <v>1.069</v>
      </c>
      <c r="D46" s="25">
        <f t="shared" si="1"/>
        <v>1.013</v>
      </c>
      <c r="E46" s="25">
        <f t="shared" si="1"/>
        <v>0.977</v>
      </c>
      <c r="F46" s="25">
        <f t="shared" si="1"/>
        <v>1.073</v>
      </c>
      <c r="G46" s="25">
        <f t="shared" si="1"/>
        <v>1.009</v>
      </c>
      <c r="H46" s="25">
        <f t="shared" si="1"/>
        <v>1.002</v>
      </c>
      <c r="I46" s="25">
        <f t="shared" si="1"/>
        <v>0.985</v>
      </c>
      <c r="J46" s="25">
        <f t="shared" si="1"/>
        <v>1.042</v>
      </c>
      <c r="K46" s="25">
        <f t="shared" si="1"/>
        <v>1.044</v>
      </c>
      <c r="L46" s="25">
        <f t="shared" si="1"/>
        <v>1.042</v>
      </c>
      <c r="M46" s="25">
        <f t="shared" si="1"/>
        <v>1.02</v>
      </c>
      <c r="N46" s="25">
        <f t="shared" si="1"/>
        <v>0.975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75" customHeight="1">
      <c r="A47" s="25"/>
      <c r="B47" s="25"/>
      <c r="C47" s="25">
        <f t="shared" ref="C47:N47" si="2">C39-$P$37</f>
        <v>1.06</v>
      </c>
      <c r="D47" s="25">
        <f t="shared" si="2"/>
        <v>1</v>
      </c>
      <c r="E47" s="25">
        <f t="shared" si="2"/>
        <v>0.974</v>
      </c>
      <c r="F47" s="25">
        <f t="shared" si="2"/>
        <v>1.071</v>
      </c>
      <c r="G47" s="25">
        <f t="shared" si="2"/>
        <v>1.033</v>
      </c>
      <c r="H47" s="25">
        <f t="shared" si="2"/>
        <v>1.038</v>
      </c>
      <c r="I47" s="25">
        <f t="shared" si="2"/>
        <v>1.105</v>
      </c>
      <c r="J47" s="25">
        <f t="shared" si="2"/>
        <v>1.06</v>
      </c>
      <c r="K47" s="25">
        <f t="shared" si="2"/>
        <v>1.085</v>
      </c>
      <c r="L47" s="25">
        <f t="shared" si="2"/>
        <v>1.098</v>
      </c>
      <c r="M47" s="25">
        <f t="shared" si="2"/>
        <v>1.04</v>
      </c>
      <c r="N47" s="25">
        <f t="shared" si="2"/>
        <v>1.039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75" customHeight="1">
      <c r="A48" s="25"/>
      <c r="B48" s="25"/>
      <c r="C48" s="25">
        <f t="shared" ref="C48:N48" si="3">C40-$P$37</f>
        <v>1.044</v>
      </c>
      <c r="D48" s="25">
        <f t="shared" si="3"/>
        <v>0.969</v>
      </c>
      <c r="E48" s="25">
        <f t="shared" si="3"/>
        <v>0.987</v>
      </c>
      <c r="F48" s="25">
        <f t="shared" si="3"/>
        <v>1.051</v>
      </c>
      <c r="G48" s="25">
        <f t="shared" si="3"/>
        <v>1.027</v>
      </c>
      <c r="H48" s="25">
        <f t="shared" si="3"/>
        <v>1.043</v>
      </c>
      <c r="I48" s="25">
        <f t="shared" si="3"/>
        <v>1.118</v>
      </c>
      <c r="J48" s="25">
        <f t="shared" si="3"/>
        <v>1.079</v>
      </c>
      <c r="K48" s="25">
        <f t="shared" si="3"/>
        <v>1.08</v>
      </c>
      <c r="L48" s="25">
        <f t="shared" si="3"/>
        <v>1.096</v>
      </c>
      <c r="M48" s="25">
        <f t="shared" si="3"/>
        <v>1.041</v>
      </c>
      <c r="N48" s="25">
        <f t="shared" si="3"/>
        <v>1.032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75" customHeight="1">
      <c r="A49" s="25"/>
      <c r="B49" s="25"/>
      <c r="C49" s="25">
        <f t="shared" ref="C49:N49" si="4">C41-$P$37</f>
        <v>1.192</v>
      </c>
      <c r="D49" s="25">
        <f t="shared" si="4"/>
        <v>1.095</v>
      </c>
      <c r="E49" s="25">
        <f t="shared" si="4"/>
        <v>1.039</v>
      </c>
      <c r="F49" s="25">
        <f t="shared" si="4"/>
        <v>1.052</v>
      </c>
      <c r="G49" s="25">
        <f t="shared" si="4"/>
        <v>1.13</v>
      </c>
      <c r="H49" s="25">
        <f t="shared" si="4"/>
        <v>1.149</v>
      </c>
      <c r="I49" s="25">
        <f t="shared" si="4"/>
        <v>1.015</v>
      </c>
      <c r="J49" s="25">
        <f t="shared" si="4"/>
        <v>1.201</v>
      </c>
      <c r="K49" s="25">
        <f t="shared" si="4"/>
        <v>1.166</v>
      </c>
      <c r="L49" s="25">
        <f t="shared" si="4"/>
        <v>1.033</v>
      </c>
      <c r="M49" s="25">
        <f t="shared" si="4"/>
        <v>1.093</v>
      </c>
      <c r="N49" s="25">
        <f t="shared" si="4"/>
        <v>1.099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75" customHeight="1">
      <c r="A50" s="25"/>
      <c r="B50" s="25"/>
      <c r="C50" s="25">
        <f t="shared" ref="C50:N50" si="5">C42-$P$37</f>
        <v>1.002</v>
      </c>
      <c r="D50" s="25">
        <f t="shared" si="5"/>
        <v>0.959</v>
      </c>
      <c r="E50" s="25">
        <f t="shared" si="5"/>
        <v>0.921</v>
      </c>
      <c r="F50" s="25">
        <f t="shared" si="5"/>
        <v>0.275</v>
      </c>
      <c r="G50" s="25">
        <f t="shared" si="5"/>
        <v>0.566</v>
      </c>
      <c r="H50" s="25">
        <f t="shared" si="5"/>
        <v>0.585</v>
      </c>
      <c r="I50" s="25">
        <f t="shared" si="5"/>
        <v>0.413</v>
      </c>
      <c r="J50" s="25">
        <f t="shared" si="5"/>
        <v>0.605</v>
      </c>
      <c r="K50" s="25">
        <f t="shared" si="5"/>
        <v>0.582</v>
      </c>
      <c r="L50" s="25">
        <f t="shared" si="5"/>
        <v>0.238</v>
      </c>
      <c r="M50" s="25">
        <f t="shared" si="5"/>
        <v>0.401</v>
      </c>
      <c r="N50" s="25">
        <f t="shared" si="5"/>
        <v>0.405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75" customHeight="1">
      <c r="A51" s="25"/>
      <c r="B51" s="25"/>
      <c r="C51" s="25">
        <f t="shared" ref="C51:N51" si="6">C43-$P$37</f>
        <v>0.901</v>
      </c>
      <c r="D51" s="25">
        <f t="shared" si="6"/>
        <v>0.854</v>
      </c>
      <c r="E51" s="25">
        <f t="shared" si="6"/>
        <v>0.88</v>
      </c>
      <c r="F51" s="25">
        <f t="shared" si="6"/>
        <v>0.111</v>
      </c>
      <c r="G51" s="25">
        <f t="shared" si="6"/>
        <v>0.147</v>
      </c>
      <c r="H51" s="25">
        <f t="shared" si="6"/>
        <v>0.156</v>
      </c>
      <c r="I51" s="25">
        <f t="shared" si="6"/>
        <v>0.181</v>
      </c>
      <c r="J51" s="25">
        <f t="shared" si="6"/>
        <v>0.14</v>
      </c>
      <c r="K51" s="25">
        <f t="shared" si="6"/>
        <v>0.142</v>
      </c>
      <c r="L51" s="25">
        <f t="shared" si="6"/>
        <v>0.109</v>
      </c>
      <c r="M51" s="25">
        <f t="shared" si="6"/>
        <v>0.13</v>
      </c>
      <c r="N51" s="25">
        <f t="shared" si="6"/>
        <v>0.12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75" customHeight="1">
      <c r="A52" s="25"/>
      <c r="B52" s="25"/>
      <c r="C52" s="25">
        <f t="shared" ref="C52:N52" si="7">C44-$P$37</f>
        <v>0.202</v>
      </c>
      <c r="D52" s="25">
        <f t="shared" si="7"/>
        <v>0.306</v>
      </c>
      <c r="E52" s="25">
        <f t="shared" si="7"/>
        <v>0.254</v>
      </c>
      <c r="F52" s="25">
        <f t="shared" si="7"/>
        <v>0.026</v>
      </c>
      <c r="G52" s="25">
        <f t="shared" si="7"/>
        <v>0.059</v>
      </c>
      <c r="H52" s="25">
        <f t="shared" si="7"/>
        <v>0.059</v>
      </c>
      <c r="I52" s="25">
        <f t="shared" si="7"/>
        <v>0.09</v>
      </c>
      <c r="J52" s="25">
        <f t="shared" si="7"/>
        <v>0.073</v>
      </c>
      <c r="K52" s="25">
        <f t="shared" si="7"/>
        <v>0.065</v>
      </c>
      <c r="L52" s="25">
        <f t="shared" si="7"/>
        <v>0.059</v>
      </c>
      <c r="M52" s="25">
        <f t="shared" si="7"/>
        <v>0.059</v>
      </c>
      <c r="N52" s="25">
        <f t="shared" si="7"/>
        <v>0.05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75" customHeight="1">
      <c r="A54" s="25"/>
      <c r="B54" s="25"/>
      <c r="C54" s="25">
        <f t="shared" ref="C54:C60" si="8">C46/$C$46</f>
        <v>1</v>
      </c>
      <c r="D54" s="25">
        <f t="shared" ref="D54:D60" si="9">D46/$D$46</f>
        <v>1</v>
      </c>
      <c r="E54" s="25">
        <f t="shared" ref="E54:E60" si="10">E46/$E$46</f>
        <v>1</v>
      </c>
      <c r="F54" s="25">
        <f t="shared" ref="F54:F60" si="11">F46/$F$46</f>
        <v>1</v>
      </c>
      <c r="G54" s="25">
        <f t="shared" ref="G54:G60" si="12">G46/$G$46</f>
        <v>1</v>
      </c>
      <c r="H54" s="25">
        <f t="shared" ref="H54:H60" si="13">H46/$H$46</f>
        <v>1</v>
      </c>
      <c r="I54" s="25">
        <f t="shared" ref="I54:I60" si="14">I46/$I$46</f>
        <v>1</v>
      </c>
      <c r="J54" s="25">
        <f t="shared" ref="J54:J60" si="15">J46/$J$46</f>
        <v>1</v>
      </c>
      <c r="K54" s="25">
        <f t="shared" ref="K54:K60" si="16">K46/$K$46</f>
        <v>1</v>
      </c>
      <c r="L54" s="25">
        <f t="shared" ref="L54:L60" si="17">L46/$L$46</f>
        <v>1</v>
      </c>
      <c r="M54" s="25">
        <f t="shared" ref="M54:M60" si="18">M46/$M$46</f>
        <v>1</v>
      </c>
      <c r="N54" s="25">
        <f t="shared" ref="N54:N60" si="19">N46/$N$46</f>
        <v>1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75" customHeight="1">
      <c r="A55" s="25"/>
      <c r="B55" s="25"/>
      <c r="C55" s="25">
        <f t="shared" si="8"/>
        <v>0.9915809167</v>
      </c>
      <c r="D55" s="25">
        <f t="shared" si="9"/>
        <v>0.9871668312</v>
      </c>
      <c r="E55" s="25">
        <f t="shared" si="10"/>
        <v>0.9969293756</v>
      </c>
      <c r="F55" s="25">
        <f t="shared" si="11"/>
        <v>0.9981360671</v>
      </c>
      <c r="G55" s="25">
        <f t="shared" si="12"/>
        <v>1.023785927</v>
      </c>
      <c r="H55" s="25">
        <f t="shared" si="13"/>
        <v>1.035928144</v>
      </c>
      <c r="I55" s="25">
        <f t="shared" si="14"/>
        <v>1.121827411</v>
      </c>
      <c r="J55" s="25">
        <f t="shared" si="15"/>
        <v>1.017274472</v>
      </c>
      <c r="K55" s="25">
        <f t="shared" si="16"/>
        <v>1.039272031</v>
      </c>
      <c r="L55" s="25">
        <f t="shared" si="17"/>
        <v>1.053742802</v>
      </c>
      <c r="M55" s="25">
        <f t="shared" si="18"/>
        <v>1.019607843</v>
      </c>
      <c r="N55" s="25">
        <f t="shared" si="19"/>
        <v>1.065641026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75" customHeight="1">
      <c r="A56" s="25"/>
      <c r="B56" s="25"/>
      <c r="C56" s="25">
        <f t="shared" si="8"/>
        <v>0.9766136576</v>
      </c>
      <c r="D56" s="25">
        <f t="shared" si="9"/>
        <v>0.9565646594</v>
      </c>
      <c r="E56" s="25">
        <f t="shared" si="10"/>
        <v>1.010235415</v>
      </c>
      <c r="F56" s="25">
        <f t="shared" si="11"/>
        <v>0.9794967381</v>
      </c>
      <c r="G56" s="25">
        <f t="shared" si="12"/>
        <v>1.017839445</v>
      </c>
      <c r="H56" s="25">
        <f t="shared" si="13"/>
        <v>1.040918164</v>
      </c>
      <c r="I56" s="25">
        <f t="shared" si="14"/>
        <v>1.135025381</v>
      </c>
      <c r="J56" s="25">
        <f t="shared" si="15"/>
        <v>1.035508637</v>
      </c>
      <c r="K56" s="25">
        <f t="shared" si="16"/>
        <v>1.034482759</v>
      </c>
      <c r="L56" s="25">
        <f t="shared" si="17"/>
        <v>1.051823417</v>
      </c>
      <c r="M56" s="25">
        <f t="shared" si="18"/>
        <v>1.020588235</v>
      </c>
      <c r="N56" s="25">
        <f t="shared" si="19"/>
        <v>1.058461538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75" customHeight="1">
      <c r="A57" s="25"/>
      <c r="B57" s="25"/>
      <c r="C57" s="25">
        <f t="shared" si="8"/>
        <v>1.115060804</v>
      </c>
      <c r="D57" s="25">
        <f t="shared" si="9"/>
        <v>1.08094768</v>
      </c>
      <c r="E57" s="25">
        <f t="shared" si="10"/>
        <v>1.06345957</v>
      </c>
      <c r="F57" s="25">
        <f t="shared" si="11"/>
        <v>0.9804287046</v>
      </c>
      <c r="G57" s="25">
        <f t="shared" si="12"/>
        <v>1.119920714</v>
      </c>
      <c r="H57" s="25">
        <f t="shared" si="13"/>
        <v>1.146706587</v>
      </c>
      <c r="I57" s="25">
        <f t="shared" si="14"/>
        <v>1.030456853</v>
      </c>
      <c r="J57" s="25">
        <f t="shared" si="15"/>
        <v>1.152591171</v>
      </c>
      <c r="K57" s="25">
        <f t="shared" si="16"/>
        <v>1.116858238</v>
      </c>
      <c r="L57" s="25">
        <f t="shared" si="17"/>
        <v>0.9913627639</v>
      </c>
      <c r="M57" s="25">
        <f t="shared" si="18"/>
        <v>1.071568627</v>
      </c>
      <c r="N57" s="25">
        <f t="shared" si="19"/>
        <v>1.127179487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75" customHeight="1">
      <c r="A58" s="25"/>
      <c r="B58" s="25"/>
      <c r="C58" s="25">
        <f t="shared" si="8"/>
        <v>0.9373246024</v>
      </c>
      <c r="D58" s="25">
        <f t="shared" si="9"/>
        <v>0.9466929911</v>
      </c>
      <c r="E58" s="25">
        <f t="shared" si="10"/>
        <v>0.9426816786</v>
      </c>
      <c r="F58" s="25">
        <f t="shared" si="11"/>
        <v>0.2562907735</v>
      </c>
      <c r="G58" s="25">
        <f t="shared" si="12"/>
        <v>0.5609514371</v>
      </c>
      <c r="H58" s="25">
        <f t="shared" si="13"/>
        <v>0.5838323353</v>
      </c>
      <c r="I58" s="25">
        <f t="shared" si="14"/>
        <v>0.4192893401</v>
      </c>
      <c r="J58" s="25">
        <f t="shared" si="15"/>
        <v>0.5806142035</v>
      </c>
      <c r="K58" s="25">
        <f t="shared" si="16"/>
        <v>0.5574712644</v>
      </c>
      <c r="L58" s="25">
        <f t="shared" si="17"/>
        <v>0.2284069098</v>
      </c>
      <c r="M58" s="25">
        <f t="shared" si="18"/>
        <v>0.3931372549</v>
      </c>
      <c r="N58" s="25">
        <f t="shared" si="19"/>
        <v>0.4153846154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75" customHeight="1">
      <c r="A59" s="25"/>
      <c r="B59" s="25"/>
      <c r="C59" s="25">
        <f t="shared" si="8"/>
        <v>0.8428437792</v>
      </c>
      <c r="D59" s="25">
        <f t="shared" si="9"/>
        <v>0.8430404738</v>
      </c>
      <c r="E59" s="25">
        <f t="shared" si="10"/>
        <v>0.900716479</v>
      </c>
      <c r="F59" s="25">
        <f t="shared" si="11"/>
        <v>0.1034482759</v>
      </c>
      <c r="G59" s="25">
        <f t="shared" si="12"/>
        <v>0.1456888008</v>
      </c>
      <c r="H59" s="25">
        <f t="shared" si="13"/>
        <v>0.1556886228</v>
      </c>
      <c r="I59" s="25">
        <f t="shared" si="14"/>
        <v>0.1837563452</v>
      </c>
      <c r="J59" s="25">
        <f t="shared" si="15"/>
        <v>0.1343570058</v>
      </c>
      <c r="K59" s="25">
        <f t="shared" si="16"/>
        <v>0.1360153257</v>
      </c>
      <c r="L59" s="25">
        <f t="shared" si="17"/>
        <v>0.1046065259</v>
      </c>
      <c r="M59" s="25">
        <f t="shared" si="18"/>
        <v>0.1274509804</v>
      </c>
      <c r="N59" s="25">
        <f t="shared" si="19"/>
        <v>0.1230769231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75" customHeight="1">
      <c r="A60" s="25"/>
      <c r="B60" s="25"/>
      <c r="C60" s="25">
        <f t="shared" si="8"/>
        <v>0.1889616464</v>
      </c>
      <c r="D60" s="25">
        <f t="shared" si="9"/>
        <v>0.3020730503</v>
      </c>
      <c r="E60" s="25">
        <f t="shared" si="10"/>
        <v>0.2599795292</v>
      </c>
      <c r="F60" s="25">
        <f t="shared" si="11"/>
        <v>0.02423112768</v>
      </c>
      <c r="G60" s="25">
        <f t="shared" si="12"/>
        <v>0.05847373637</v>
      </c>
      <c r="H60" s="25">
        <f t="shared" si="13"/>
        <v>0.05888223553</v>
      </c>
      <c r="I60" s="25">
        <f t="shared" si="14"/>
        <v>0.09137055838</v>
      </c>
      <c r="J60" s="25">
        <f t="shared" si="15"/>
        <v>0.07005758157</v>
      </c>
      <c r="K60" s="25">
        <f t="shared" si="16"/>
        <v>0.0622605364</v>
      </c>
      <c r="L60" s="25">
        <f t="shared" si="17"/>
        <v>0.056621881</v>
      </c>
      <c r="M60" s="25">
        <f t="shared" si="18"/>
        <v>0.05784313725</v>
      </c>
      <c r="N60" s="25">
        <f t="shared" si="19"/>
        <v>0.05128205128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Windows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